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fileSharing readOnlyRecommended="1" userName="HP" algorithmName="SHA-512" hashValue="HutgbPIAvzD7qrIZ7Wgiq+Fm1OQolLtPX706VvLLkYfXOmUYHrBTv9tqcHr+FfltYIWWiijBKxAjwuVj7ptnGA==" saltValue="Bp2JSzXDBO7JKmVE1ESF9Q==" spinCount="10000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D7133BF-3DF2-4D7E-9550-78E3979A8B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داشبرد" sheetId="1" r:id="rId1"/>
    <sheet name="محاسبات" sheetId="2" r:id="rId2"/>
    <sheet name="پایگاه داده" sheetId="3" r:id="rId3"/>
    <sheet name="شاخص مسیر" sheetId="4" r:id="rId4"/>
    <sheet name="شبیه سازی مسیر بندر به اصفهان" sheetId="5" r:id="rId5"/>
    <sheet name="شبیه سازی مسیر بندر به تهران" sheetId="6" r:id="rId6"/>
    <sheet name="شبیه سازی مسیر بندر به زرندیه" sheetId="7" r:id="rId7"/>
    <sheet name="پایگاه داده باکس پلات" sheetId="11" r:id="rId8"/>
  </sheets>
  <definedNames>
    <definedName name="_xlchart.v1.0" hidden="1">'پایگاه داده باکس پلات'!$AD$2</definedName>
    <definedName name="_xlchart.v1.1" hidden="1">'پایگاه داده باکس پلات'!$AD$3:$AD$281</definedName>
    <definedName name="_xlchart.v1.2" hidden="1">'پایگاه داده باکس پلات'!$AC$2</definedName>
    <definedName name="_xlchart.v1.3" hidden="1">'پایگاه داده باکس پلات'!$AD$2</definedName>
    <definedName name="_xlchart.v1.4" hidden="1">'پایگاه داده باکس پلات'!$AD$3:$AD$281</definedName>
    <definedName name="_xlchart.v1.5" hidden="1">'پایگاه داده باکس پلات'!$AD$2</definedName>
    <definedName name="_xlchart.v1.6" hidden="1">'پایگاه داده باکس پلات'!$AD$3:$AD$281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C8" i="1" s="1"/>
  <c r="AE20" i="2" l="1"/>
  <c r="AD20" i="2"/>
  <c r="AC20" i="2"/>
  <c r="AB20" i="2"/>
  <c r="AA20" i="2"/>
  <c r="Z20" i="2"/>
  <c r="Y20" i="2"/>
  <c r="X20" i="2"/>
  <c r="AE19" i="2"/>
  <c r="AD19" i="2"/>
  <c r="AC19" i="2"/>
  <c r="AB19" i="2"/>
  <c r="AA19" i="2"/>
  <c r="Z19" i="2"/>
  <c r="Y19" i="2"/>
  <c r="X19" i="2"/>
  <c r="AE18" i="2"/>
  <c r="AD18" i="2"/>
  <c r="AC18" i="2"/>
  <c r="AB18" i="2"/>
  <c r="AA18" i="2"/>
  <c r="Z18" i="2"/>
  <c r="Y18" i="2"/>
  <c r="X18" i="2"/>
  <c r="F20" i="1"/>
  <c r="F13" i="1" l="1"/>
  <c r="F17" i="1"/>
  <c r="F18" i="1"/>
  <c r="F12" i="1"/>
  <c r="F14" i="1"/>
  <c r="F16" i="1"/>
  <c r="F19" i="1"/>
  <c r="F15" i="1"/>
  <c r="AD3" i="11"/>
  <c r="AD4" i="11"/>
  <c r="AD16" i="11"/>
  <c r="AD28" i="11"/>
  <c r="AD40" i="11"/>
  <c r="AD52" i="11"/>
  <c r="AD64" i="11"/>
  <c r="AD76" i="11"/>
  <c r="AD88" i="11"/>
  <c r="AD100" i="11"/>
  <c r="AD112" i="11"/>
  <c r="AD124" i="11"/>
  <c r="AD136" i="11"/>
  <c r="AD148" i="11"/>
  <c r="AD160" i="11"/>
  <c r="AD172" i="11"/>
  <c r="AD184" i="11"/>
  <c r="AD196" i="11"/>
  <c r="AD208" i="11"/>
  <c r="AD220" i="11"/>
  <c r="AD232" i="11"/>
  <c r="AD244" i="11"/>
  <c r="AD256" i="11"/>
  <c r="AD268" i="11"/>
  <c r="AD280" i="11"/>
  <c r="AD32" i="11"/>
  <c r="AD140" i="11"/>
  <c r="AD176" i="11"/>
  <c r="AD212" i="11"/>
  <c r="AD248" i="11"/>
  <c r="AD272" i="11"/>
  <c r="AD21" i="11"/>
  <c r="AD177" i="11"/>
  <c r="AD249" i="11"/>
  <c r="AD22" i="11"/>
  <c r="AD38" i="11"/>
  <c r="AD134" i="11"/>
  <c r="AD182" i="11"/>
  <c r="AD242" i="11"/>
  <c r="AD39" i="11"/>
  <c r="AD267" i="11"/>
  <c r="AD5" i="11"/>
  <c r="AD17" i="11"/>
  <c r="AD29" i="11"/>
  <c r="AD41" i="11"/>
  <c r="AD53" i="11"/>
  <c r="AD65" i="11"/>
  <c r="AD77" i="11"/>
  <c r="AD89" i="11"/>
  <c r="AD101" i="11"/>
  <c r="AD113" i="11"/>
  <c r="AD125" i="11"/>
  <c r="AD137" i="11"/>
  <c r="AD149" i="11"/>
  <c r="AD161" i="11"/>
  <c r="AD173" i="11"/>
  <c r="AD185" i="11"/>
  <c r="AD197" i="11"/>
  <c r="AD209" i="11"/>
  <c r="AD221" i="11"/>
  <c r="AD233" i="11"/>
  <c r="AD245" i="11"/>
  <c r="AD257" i="11"/>
  <c r="AD269" i="11"/>
  <c r="AD281" i="11"/>
  <c r="AD20" i="11"/>
  <c r="AD224" i="11"/>
  <c r="AD45" i="11"/>
  <c r="AD57" i="11"/>
  <c r="AD69" i="11"/>
  <c r="AD81" i="11"/>
  <c r="AD93" i="11"/>
  <c r="AD105" i="11"/>
  <c r="AD117" i="11"/>
  <c r="AD129" i="11"/>
  <c r="AD141" i="11"/>
  <c r="AD165" i="11"/>
  <c r="AD189" i="11"/>
  <c r="AD225" i="11"/>
  <c r="AD261" i="11"/>
  <c r="AD34" i="11"/>
  <c r="AD58" i="11"/>
  <c r="AD70" i="11"/>
  <c r="AD82" i="11"/>
  <c r="AD94" i="11"/>
  <c r="AD106" i="11"/>
  <c r="AD118" i="11"/>
  <c r="AD130" i="11"/>
  <c r="AD142" i="11"/>
  <c r="AD154" i="11"/>
  <c r="AD166" i="11"/>
  <c r="AD178" i="11"/>
  <c r="AD190" i="11"/>
  <c r="AD202" i="11"/>
  <c r="AD214" i="11"/>
  <c r="AD226" i="11"/>
  <c r="AD238" i="11"/>
  <c r="AD250" i="11"/>
  <c r="AD262" i="11"/>
  <c r="AD26" i="11"/>
  <c r="AD218" i="11"/>
  <c r="AD15" i="11"/>
  <c r="AD6" i="11"/>
  <c r="AD18" i="11"/>
  <c r="AD30" i="11"/>
  <c r="AD42" i="11"/>
  <c r="AD54" i="11"/>
  <c r="AD66" i="11"/>
  <c r="AD78" i="11"/>
  <c r="AD90" i="11"/>
  <c r="AD102" i="11"/>
  <c r="AD114" i="11"/>
  <c r="AD126" i="11"/>
  <c r="AD138" i="11"/>
  <c r="AD150" i="11"/>
  <c r="AD162" i="11"/>
  <c r="AD174" i="11"/>
  <c r="AD186" i="11"/>
  <c r="AD198" i="11"/>
  <c r="AD210" i="11"/>
  <c r="AD222" i="11"/>
  <c r="AD234" i="11"/>
  <c r="AD246" i="11"/>
  <c r="AD258" i="11"/>
  <c r="AD270" i="11"/>
  <c r="AD44" i="11"/>
  <c r="AD56" i="11"/>
  <c r="AD68" i="11"/>
  <c r="AD80" i="11"/>
  <c r="AD92" i="11"/>
  <c r="AD104" i="11"/>
  <c r="AD128" i="11"/>
  <c r="AD152" i="11"/>
  <c r="AD164" i="11"/>
  <c r="AD200" i="11"/>
  <c r="AD236" i="11"/>
  <c r="AD9" i="11"/>
  <c r="AD201" i="11"/>
  <c r="AD273" i="11"/>
  <c r="AD10" i="11"/>
  <c r="AD50" i="11"/>
  <c r="AD74" i="11"/>
  <c r="AD98" i="11"/>
  <c r="AD122" i="11"/>
  <c r="AD158" i="11"/>
  <c r="AD206" i="11"/>
  <c r="AD278" i="11"/>
  <c r="AD51" i="11"/>
  <c r="AD243" i="11"/>
  <c r="AD7" i="11"/>
  <c r="AD19" i="11"/>
  <c r="AD31" i="11"/>
  <c r="AD43" i="11"/>
  <c r="AD55" i="11"/>
  <c r="AD67" i="11"/>
  <c r="AD79" i="11"/>
  <c r="AD91" i="11"/>
  <c r="AD103" i="11"/>
  <c r="AD115" i="11"/>
  <c r="AD127" i="11"/>
  <c r="AD139" i="11"/>
  <c r="AD151" i="11"/>
  <c r="AD163" i="11"/>
  <c r="AD175" i="11"/>
  <c r="AD187" i="11"/>
  <c r="AD199" i="11"/>
  <c r="AD211" i="11"/>
  <c r="AD223" i="11"/>
  <c r="AD235" i="11"/>
  <c r="AD247" i="11"/>
  <c r="AD259" i="11"/>
  <c r="AD271" i="11"/>
  <c r="AD8" i="11"/>
  <c r="AD116" i="11"/>
  <c r="AD188" i="11"/>
  <c r="AD260" i="11"/>
  <c r="AD33" i="11"/>
  <c r="AD153" i="11"/>
  <c r="AD213" i="11"/>
  <c r="AD237" i="11"/>
  <c r="AD46" i="11"/>
  <c r="AD274" i="11"/>
  <c r="AD62" i="11"/>
  <c r="AD86" i="11"/>
  <c r="AD110" i="11"/>
  <c r="AD146" i="11"/>
  <c r="AD194" i="11"/>
  <c r="AD230" i="11"/>
  <c r="AD266" i="11"/>
  <c r="AD63" i="11"/>
  <c r="AD75" i="11"/>
  <c r="AD87" i="11"/>
  <c r="AD99" i="11"/>
  <c r="AD111" i="11"/>
  <c r="AD123" i="11"/>
  <c r="AD135" i="11"/>
  <c r="AD147" i="11"/>
  <c r="AD159" i="11"/>
  <c r="AD171" i="11"/>
  <c r="AD183" i="11"/>
  <c r="AD195" i="11"/>
  <c r="AD207" i="11"/>
  <c r="AD219" i="11"/>
  <c r="AD231" i="11"/>
  <c r="AD255" i="11"/>
  <c r="AD279" i="11"/>
  <c r="AD11" i="11"/>
  <c r="AD23" i="11"/>
  <c r="AD35" i="11"/>
  <c r="AD47" i="11"/>
  <c r="AD59" i="11"/>
  <c r="AD71" i="11"/>
  <c r="AD83" i="11"/>
  <c r="AD95" i="11"/>
  <c r="AD107" i="11"/>
  <c r="AD119" i="11"/>
  <c r="AD131" i="11"/>
  <c r="AD143" i="11"/>
  <c r="AD155" i="11"/>
  <c r="AD167" i="11"/>
  <c r="AD179" i="11"/>
  <c r="AD191" i="11"/>
  <c r="AD203" i="11"/>
  <c r="AD215" i="11"/>
  <c r="AD227" i="11"/>
  <c r="AD239" i="11"/>
  <c r="AD251" i="11"/>
  <c r="AD263" i="11"/>
  <c r="AD275" i="11"/>
  <c r="AD12" i="11"/>
  <c r="AD24" i="11"/>
  <c r="AD36" i="11"/>
  <c r="AD48" i="11"/>
  <c r="AD60" i="11"/>
  <c r="AD72" i="11"/>
  <c r="AD84" i="11"/>
  <c r="AD96" i="11"/>
  <c r="AD108" i="11"/>
  <c r="AD120" i="11"/>
  <c r="AD132" i="11"/>
  <c r="AD144" i="11"/>
  <c r="AD156" i="11"/>
  <c r="AD168" i="11"/>
  <c r="AD180" i="11"/>
  <c r="AD192" i="11"/>
  <c r="AD204" i="11"/>
  <c r="AD216" i="11"/>
  <c r="AD228" i="11"/>
  <c r="AD240" i="11"/>
  <c r="AD252" i="11"/>
  <c r="AD264" i="11"/>
  <c r="AD276" i="11"/>
  <c r="AD13" i="11"/>
  <c r="AD25" i="11"/>
  <c r="AD37" i="11"/>
  <c r="AD49" i="11"/>
  <c r="AD61" i="11"/>
  <c r="AD73" i="11"/>
  <c r="AD85" i="11"/>
  <c r="AD97" i="11"/>
  <c r="AD109" i="11"/>
  <c r="AD121" i="11"/>
  <c r="AD133" i="11"/>
  <c r="AD145" i="11"/>
  <c r="AD157" i="11"/>
  <c r="AD169" i="11"/>
  <c r="AD181" i="11"/>
  <c r="AD193" i="11"/>
  <c r="AD205" i="11"/>
  <c r="AD217" i="11"/>
  <c r="AD229" i="11"/>
  <c r="AD241" i="11"/>
  <c r="AD253" i="11"/>
  <c r="AD265" i="11"/>
  <c r="AD277" i="11"/>
  <c r="AD14" i="11"/>
  <c r="AD170" i="11"/>
  <c r="AD254" i="11"/>
  <c r="AD27" i="11"/>
  <c r="C18" i="1"/>
  <c r="D8" i="1"/>
  <c r="C17" i="1"/>
  <c r="F8" i="1"/>
  <c r="G8" i="1"/>
  <c r="C19" i="1"/>
  <c r="C14" i="1"/>
  <c r="C13" i="1"/>
  <c r="B8" i="1"/>
  <c r="C15" i="1"/>
  <c r="C16" i="1"/>
  <c r="E8" i="1"/>
  <c r="I8" i="1" l="1" a="1"/>
  <c r="I8" i="1" s="1"/>
  <c r="J8" i="1"/>
  <c r="H8" i="1"/>
  <c r="AD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<sst xmlns="http://schemas.openxmlformats.org/spreadsheetml/2006/main" count="1546" uniqueCount="219">
  <si>
    <t>فاز یک: اظهار تا ترخیص گمرکی</t>
  </si>
  <si>
    <t>کل فاز (بدون لحاظ مسیر)</t>
  </si>
  <si>
    <t>انتخاب فاز:</t>
  </si>
  <si>
    <t>فاز سه: حمل بین شهری تا انبار مقصد</t>
  </si>
  <si>
    <t>فاز دو: ترخیص تا بارگیری</t>
  </si>
  <si>
    <t>آستارا به تهران</t>
  </si>
  <si>
    <t>⚙</t>
  </si>
  <si>
    <t>بندرعباس به اصفهان</t>
  </si>
  <si>
    <t>🛣</t>
  </si>
  <si>
    <t>انتخاب مسیر:</t>
  </si>
  <si>
    <t>فاز چهار: کل چرخه لجستیک</t>
  </si>
  <si>
    <t>بندرعباس به تهران</t>
  </si>
  <si>
    <t>بندرعباس به زرندیه</t>
  </si>
  <si>
    <t>میانگین زمان چرخه (لیدتایم)</t>
  </si>
  <si>
    <t>نرخ مغایرت وزنی</t>
  </si>
  <si>
    <t>کارایی فرایند (PCE)</t>
  </si>
  <si>
    <t>سهم تأخیرات گمرک و بارگیری</t>
  </si>
  <si>
    <t>تعداد کل سفرها (N)</t>
  </si>
  <si>
    <t>نرخ تحویل به‌موقع (OTD)</t>
  </si>
  <si>
    <t>چابهار به تهران</t>
  </si>
  <si>
    <t>چابهار به مشهد</t>
  </si>
  <si>
    <t>واحد: روز</t>
  </si>
  <si>
    <t>واحد: %</t>
  </si>
  <si>
    <t>واحد: سفر</t>
  </si>
  <si>
    <t>🧪 پنل شبیه‌سازی مونت‌کارلو — فاز ۳ و مسیرهای مجاز</t>
  </si>
  <si>
    <t>آماره</t>
  </si>
  <si>
    <t>مقدار</t>
  </si>
  <si>
    <t>زمان تعهد قانونی (SLA)</t>
  </si>
  <si>
    <t>میانگین زمان حمل شبیه‌سازی شده</t>
  </si>
  <si>
    <t>میانگین انحراف معیار شبیه‌سازی شده</t>
  </si>
  <si>
    <t>میانگین نرخ تحویل به‌موقع شبیه‌سازی شده</t>
  </si>
  <si>
    <t>میانگین ضریب تغییرات</t>
  </si>
  <si>
    <t>شاخص بافر زمانی</t>
  </si>
  <si>
    <t>تارگت تحویل ۵۰٪</t>
  </si>
  <si>
    <t>تارگت ۹۰٪</t>
  </si>
  <si>
    <t>تارگت ۹۵٪</t>
  </si>
  <si>
    <t>سهم تجمعی</t>
  </si>
  <si>
    <t>Route_Key</t>
  </si>
  <si>
    <t>Phase_Key</t>
  </si>
  <si>
    <t>Combination_Key</t>
  </si>
  <si>
    <t>N</t>
  </si>
  <si>
    <t>Pareto_Route</t>
  </si>
  <si>
    <t>Pareto_Phase</t>
  </si>
  <si>
    <t>فاز یک: اظهار تا ترخیص گمرکی | کل فاز (بدون لحاظ مسیر)</t>
  </si>
  <si>
    <t>-</t>
  </si>
  <si>
    <t>فاز یک: اظهار تا ترخیص گمرکی | آستارا به تهران</t>
  </si>
  <si>
    <t>فاز یک: اظهار تا ترخیص گمرکی | بندرعباس به اصفهان</t>
  </si>
  <si>
    <t>فاز یک: اظهار تا ترخیص گمرکی | بندرعباس به تهران</t>
  </si>
  <si>
    <t>فاز یک: اظهار تا ترخیص گمرکی | بندرعباس به زرندیه</t>
  </si>
  <si>
    <t>فاز یک: اظهار تا ترخیص گمرکی | چابهار به تهران</t>
  </si>
  <si>
    <t>فاز یک: اظهار تا ترخیص گمرکی | چابهار به مشهد</t>
  </si>
  <si>
    <t>فاز دو: ترخیص تا بارگیری | کل فاز (بدون لحاظ مسیر)</t>
  </si>
  <si>
    <t>فاز دو: ترخیص تا بارگیری | آستارا به تهران</t>
  </si>
  <si>
    <t>فاز دو: ترخیص تا بارگیری | بندرعباس به اصفهان</t>
  </si>
  <si>
    <t>فاز دو: ترخیص تا بارگیری | بندرعباس به تهران</t>
  </si>
  <si>
    <t>فاز دو: ترخیص تا بارگیری | بندرعباس به زرندیه</t>
  </si>
  <si>
    <t>فاز دو: ترخیص تا بارگیری | چابهار به تهران</t>
  </si>
  <si>
    <t>فاز دو: ترخیص تا بارگیری | چابهار به مشهد</t>
  </si>
  <si>
    <t>فاز سه: حمل بین شهری تا انبار مقصد | کل فاز (بدون لحاظ مسیر)</t>
  </si>
  <si>
    <t>فاز سه: حمل بین شهری تا انبار مقصد | آستارا به تهران</t>
  </si>
  <si>
    <t>فاز سه: حمل بین شهری تا انبار مقصد | بندرعباس به اصفهان</t>
  </si>
  <si>
    <t>فاز سه: حمل بین شهری تا انبار مقصد | بندرعباس به تهران</t>
  </si>
  <si>
    <t>فاز سه: حمل بین شهری تا انبار مقصد | بندرعباس به زرندیه</t>
  </si>
  <si>
    <t>فاز سه: حمل بین شهری تا انبار مقصد | چابهار به تهران</t>
  </si>
  <si>
    <t>فاز سه: حمل بین شهری تا انبار مقصد | چابهار به مشهد</t>
  </si>
  <si>
    <t>فاز چهار: کل چرخه لجستیک | کل فاز (بدون لحاظ مسیر)</t>
  </si>
  <si>
    <t>فاز چهار: کل چرخه لجستیک | آستارا به تهران</t>
  </si>
  <si>
    <t>فاز چهار: کل چرخه لجستیک | بندرعباس به اصفهان</t>
  </si>
  <si>
    <t>فاز چهار: کل چرخه لجستیک | بندرعباس به تهران</t>
  </si>
  <si>
    <t>فاز چهار: کل چرخه لجستیک | بندرعباس به زرندیه</t>
  </si>
  <si>
    <t>فاز چهار: کل چرخه لجستیک | چابهار به تهران</t>
  </si>
  <si>
    <t>فاز چهار: کل چرخه لجستیک | چابهار به مشهد</t>
  </si>
  <si>
    <t>شماره کالا</t>
  </si>
  <si>
    <t>نام شهر گمرک</t>
  </si>
  <si>
    <t>مقصد بارگیری</t>
  </si>
  <si>
    <t>شماره کوتاژ</t>
  </si>
  <si>
    <t>نوع کالا</t>
  </si>
  <si>
    <t>زمان اظهار تا ترخیص</t>
  </si>
  <si>
    <t>زمان ترخیص تا بارگیری</t>
  </si>
  <si>
    <t>زمان حمل بین شهری</t>
  </si>
  <si>
    <t>زمان استاندارد مسیر</t>
  </si>
  <si>
    <t>زمان خوشبینانه</t>
  </si>
  <si>
    <t>زمان بدبینانه</t>
  </si>
  <si>
    <t>انحراف زمانی (روز)</t>
  </si>
  <si>
    <t>تحویل به موقع(OTD)</t>
  </si>
  <si>
    <t>کل زمان چرخه لجستیک</t>
  </si>
  <si>
    <t>وزن بارنامه مبدا</t>
  </si>
  <si>
    <t xml:space="preserve">وزن باسکول انبار مقصد </t>
  </si>
  <si>
    <t>کسری وزن</t>
  </si>
  <si>
    <t>وزن واحد کیسه</t>
  </si>
  <si>
    <t>تعداد  کیسه ارسالی</t>
  </si>
  <si>
    <t>تعداد کیسه معیوب</t>
  </si>
  <si>
    <t>درصد مغایرت وزنی</t>
  </si>
  <si>
    <t>راندمان زمانی فرایند)(PCE)</t>
  </si>
  <si>
    <t>بندر عباس</t>
  </si>
  <si>
    <t>اصفهان</t>
  </si>
  <si>
    <t xml:space="preserve"> قهوه دانه سبز </t>
  </si>
  <si>
    <t>تهران</t>
  </si>
  <si>
    <t>آستارا</t>
  </si>
  <si>
    <t>قزوین</t>
  </si>
  <si>
    <t>عدس درشت روس</t>
  </si>
  <si>
    <t xml:space="preserve">فلفل سیاه </t>
  </si>
  <si>
    <t>تخمه كدو</t>
  </si>
  <si>
    <t xml:space="preserve"> زردچوبه</t>
  </si>
  <si>
    <t>پودر نارگیل</t>
  </si>
  <si>
    <t xml:space="preserve">بادام زمینی </t>
  </si>
  <si>
    <t>37211755-37234942</t>
  </si>
  <si>
    <t>تخمه آفتابگردان</t>
  </si>
  <si>
    <t xml:space="preserve">زنجبیل </t>
  </si>
  <si>
    <t>37676068و37674292</t>
  </si>
  <si>
    <t>مامونیه</t>
  </si>
  <si>
    <t>چای</t>
  </si>
  <si>
    <t>37699855و37699176</t>
  </si>
  <si>
    <t>زرندیه (مرکزی)</t>
  </si>
  <si>
    <t>37732436</t>
  </si>
  <si>
    <t>رزین پلی اتلین ترمتالات گرید بطری با درجه خوراکی</t>
  </si>
  <si>
    <t>37732687</t>
  </si>
  <si>
    <t>37855528و37845996</t>
  </si>
  <si>
    <t>سرخس</t>
  </si>
  <si>
    <t>دلیجان</t>
  </si>
  <si>
    <t>درب قوطی آسان باز شو</t>
  </si>
  <si>
    <t>چابهار</t>
  </si>
  <si>
    <t>ساوه</t>
  </si>
  <si>
    <t>38022617</t>
  </si>
  <si>
    <t>ساری</t>
  </si>
  <si>
    <t>پالت ورق حلب بسته بندی روغن خوراکی</t>
  </si>
  <si>
    <t>بوشهر</t>
  </si>
  <si>
    <t xml:space="preserve">عدس درشت  کانادایی </t>
  </si>
  <si>
    <t xml:space="preserve">انواع نخ </t>
  </si>
  <si>
    <t>مشهد</t>
  </si>
  <si>
    <t>شکر</t>
  </si>
  <si>
    <t>شاخص های KPI</t>
  </si>
  <si>
    <t>گمرک مبدا</t>
  </si>
  <si>
    <t>انبار مقصد</t>
  </si>
  <si>
    <t>زمان استاندارد</t>
  </si>
  <si>
    <t>حداقل_زمان</t>
  </si>
  <si>
    <t>حداکثر_زمان</t>
  </si>
  <si>
    <t>زمان انتظاری PERT (روز)</t>
  </si>
  <si>
    <t>واریانس زمانی</t>
  </si>
  <si>
    <t>انحراف معیار زمانی (روز)</t>
  </si>
  <si>
    <t>ضریب تغییرات CV</t>
  </si>
  <si>
    <t>تعداد سفر ها</t>
  </si>
  <si>
    <t>سهم جریانی هر انبار</t>
  </si>
  <si>
    <t>تعداد تاخیر در هر مسیر</t>
  </si>
  <si>
    <t>احتمال بحران</t>
  </si>
  <si>
    <t>حداقل تأخیر بحران (D_min)</t>
  </si>
  <si>
    <t>حداکثر تأخیر بحران (D_max)</t>
  </si>
  <si>
    <t>توضیحات</t>
  </si>
  <si>
    <t>به دلیل کمبود داده در شبیه سازی لحاظ نمیشود</t>
  </si>
  <si>
    <t>نام کالا در پایگاه داده</t>
  </si>
  <si>
    <t>وزن واحد بسته (kg)</t>
  </si>
  <si>
    <t>مدل شبیه‌سازی مونت‌کارلو لیدتایم حمل: بندر عباس به اصفهان</t>
  </si>
  <si>
    <t>پارامترهای مسیر و مدل</t>
  </si>
  <si>
    <t>شاخص‌های کلیدی عملکرد (KPI)</t>
  </si>
  <si>
    <t>شماره تکرار (i)</t>
  </si>
  <si>
    <t>زمان پایه Beta-PERT (T_base)</t>
  </si>
  <si>
    <t>کلید بحران برنولی (S)</t>
  </si>
  <si>
    <t>تأخیر مازاد بحران (ΔT)</t>
  </si>
  <si>
    <t>لیدتایم کل مسیر (T_Total)</t>
  </si>
  <si>
    <t>تحویل به‌موقع (OTD Flag)</t>
  </si>
  <si>
    <t>میانگین زمان حمل (T_avg)</t>
  </si>
  <si>
    <t>حداقل زمان فیزیکی (a)</t>
  </si>
  <si>
    <t>انحراف معیار زمان حمل (SD)</t>
  </si>
  <si>
    <t>محتمل‌ترین زمان (m)</t>
  </si>
  <si>
    <t>نرخ تحویل به موقع (OTD)</t>
  </si>
  <si>
    <t>حداکثر زمان نرمال (b)</t>
  </si>
  <si>
    <t>ضریب تغییرات (CV)</t>
  </si>
  <si>
    <t>آلفای بتا PERT (α)</t>
  </si>
  <si>
    <t>زمان در معرض ریسک (TaR 95%)</t>
  </si>
  <si>
    <t>بتای بتا PERT (β)</t>
  </si>
  <si>
    <t>زمان در معرض ریسک شرطی (CTaR 95%)</t>
  </si>
  <si>
    <t>احتمال رخداد بحران (p)</t>
  </si>
  <si>
    <t>شکاف بحران (Crisis Gap)</t>
  </si>
  <si>
    <t>شاخص بافر زمانی (BI %)</t>
  </si>
  <si>
    <t>شاخص زمان برنامه‌ریزی (PTI)</t>
  </si>
  <si>
    <t>تعداد تکرار شبیه‌سازی (N)</t>
  </si>
  <si>
    <t>بافر اطمینان مطلق (روز)</t>
  </si>
  <si>
    <t>بهینه‌سازی تعهد SLA و بافر داینامیک</t>
  </si>
  <si>
    <t>تارگت تحویل 50% (P50)</t>
  </si>
  <si>
    <t>تارگت تحویل 90% (P90)</t>
  </si>
  <si>
    <t>تارگت تحویل 95% (P95)</t>
  </si>
  <si>
    <t>مدل شبیه‌سازی مونت‌کارلو لیدتایم حمل: بندر عباس به تهران</t>
  </si>
  <si>
    <t>مدل شبیه‌سازی مونت‌کارلو لیدتایم حمل: بندر عباس به زرندیه</t>
  </si>
  <si>
    <t>فاز کل چرخه لجستیک</t>
  </si>
  <si>
    <t>حداقل (Min)</t>
  </si>
  <si>
    <t>چارک اول (Q1)</t>
  </si>
  <si>
    <t>میانه (Median)</t>
  </si>
  <si>
    <t>میانگین (Mean)</t>
  </si>
  <si>
    <t>چارک سوم (Q3)</t>
  </si>
  <si>
    <t>حداکثر (Max)</t>
  </si>
  <si>
    <t>دامنه میان‌چارکی (IQR)</t>
  </si>
  <si>
    <t>تعداد داده پرت</t>
  </si>
  <si>
    <t>راندمان زمانی فرایند (PCE)</t>
  </si>
  <si>
    <t>میانگین تاخیر</t>
  </si>
  <si>
    <t>درصد تحویل به موقع(OTD)</t>
  </si>
  <si>
    <t>تعداد تاخیر</t>
  </si>
  <si>
    <t xml:space="preserve">شبیه سازی زمان تعهد قانونی (SLA) </t>
  </si>
  <si>
    <t>شبیه سازی میانگین زمان</t>
  </si>
  <si>
    <t>شبیه سازی انحراف معبار</t>
  </si>
  <si>
    <t>شبیه سازی نرخ تحویل به موقع</t>
  </si>
  <si>
    <t>شبیه سازی ضریب تغییرات</t>
  </si>
  <si>
    <t>مجموع روز ها</t>
  </si>
  <si>
    <t>درصد تاخیر</t>
  </si>
  <si>
    <t>درصد تاخیر تجمعی</t>
  </si>
  <si>
    <t>مسیر انتخاب شده:</t>
  </si>
  <si>
    <t>فاز زنجیره لجستیک</t>
  </si>
  <si>
    <t>مجموع زمان (روز)</t>
  </si>
  <si>
    <t>میانگین زمان در هر محموله (روز)</t>
  </si>
  <si>
    <t>سهم درصدی</t>
  </si>
  <si>
    <t>تشریفات و ارزیابی گمرک</t>
  </si>
  <si>
    <t>تخصیص و بارگیری ناوگان</t>
  </si>
  <si>
    <t>حمل و ترانزیت جاده‌ای</t>
  </si>
  <si>
    <t>📉 تحلیل پارتو — سهم  تاخیر   به تفکیک فاز</t>
  </si>
  <si>
    <t>ضریب تغییرات</t>
  </si>
  <si>
    <t>ضریب چولگی</t>
  </si>
  <si>
    <t>انحراف معیار</t>
  </si>
  <si>
    <t>واحد: مقیاسی بین +3 و -3</t>
  </si>
  <si>
    <t>📊 باکس پلات (خلاصه آماره ها)</t>
  </si>
  <si>
    <t xml:space="preserve">داشبورد مدیریتی لجستیک مواد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</si>
</sst>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&quot;%&quot;"/>
    <numFmt numFmtId="166" formatCode="0.0&quot;%&quot;"/>
    <numFmt numFmtId="167" formatCode="\+0.00;\-0.00;0.00"/>
  </numFmts>
  <fonts count="2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Tahoma"/>
      <family val="2"/>
    </font>
    <font>
      <sz val="10"/>
      <color rgb="FF94A3B8"/>
      <name val="Tahoma"/>
      <family val="2"/>
    </font>
    <font>
      <b/>
      <sz val="11"/>
      <color rgb="FF0F172A"/>
      <name val="Tahoma"/>
      <family val="2"/>
    </font>
    <font>
      <b/>
      <sz val="11"/>
      <color rgb="FF2563EB"/>
      <name val="Tahoma"/>
      <family val="2"/>
    </font>
    <font>
      <sz val="12"/>
      <color rgb="FF2563EB"/>
      <name val="Calibri"/>
      <family val="2"/>
    </font>
    <font>
      <i/>
      <sz val="9"/>
      <color rgb="FF64748B"/>
      <name val="Calibri"/>
      <family val="2"/>
    </font>
    <font>
      <b/>
      <sz val="10"/>
      <color rgb="FF0F172A"/>
      <name val="Tahoma"/>
      <family val="2"/>
    </font>
    <font>
      <b/>
      <sz val="22"/>
      <color rgb="FF2563EB"/>
      <name val="Tahoma"/>
      <family val="2"/>
    </font>
    <font>
      <b/>
      <sz val="22"/>
      <color rgb="FFD97706"/>
      <name val="Tahoma"/>
      <family val="2"/>
    </font>
    <font>
      <b/>
      <sz val="22"/>
      <color rgb="FF0D9488"/>
      <name val="Tahoma"/>
      <family val="2"/>
    </font>
    <font>
      <b/>
      <sz val="22"/>
      <color rgb="FFDC2626"/>
      <name val="Tahoma"/>
      <family val="2"/>
    </font>
    <font>
      <b/>
      <sz val="22"/>
      <color rgb="FF10B981"/>
      <name val="Tahoma"/>
      <family val="2"/>
    </font>
    <font>
      <b/>
      <sz val="22"/>
      <color rgb="FF1E293B"/>
      <name val="Tahoma"/>
      <family val="2"/>
    </font>
    <font>
      <b/>
      <sz val="12"/>
      <color rgb="FFFFFFFF"/>
      <name val="Tahoma"/>
      <family val="2"/>
    </font>
    <font>
      <b/>
      <sz val="11"/>
      <color rgb="FF0D9488"/>
      <name val="Tahoma"/>
      <family val="2"/>
    </font>
    <font>
      <b/>
      <sz val="10"/>
      <color rgb="FFFFFFFF"/>
      <name val="Tahoma"/>
      <family val="2"/>
    </font>
    <font>
      <sz val="10"/>
      <color rgb="FF0F172A"/>
      <name val="Tahoma"/>
      <family val="2"/>
    </font>
    <font>
      <sz val="11"/>
      <color theme="1"/>
      <name val="Calibri"/>
      <family val="2"/>
      <scheme val="minor"/>
    </font>
    <font>
      <b/>
      <sz val="11"/>
      <color theme="7" tint="-0.499984740745262"/>
      <name val="Tahoma"/>
      <family val="2"/>
    </font>
    <font>
      <b/>
      <sz val="22"/>
      <color theme="2" tint="-0.499984740745262"/>
      <name val="Tahoma"/>
      <family val="2"/>
    </font>
    <font>
      <b/>
      <sz val="22"/>
      <color theme="7" tint="0.39997558519241921"/>
      <name val="Tahoma"/>
      <family val="2"/>
    </font>
    <font>
      <b/>
      <sz val="22"/>
      <color rgb="FF00B0F0"/>
      <name val="Tahoma"/>
      <family val="2"/>
    </font>
    <font>
      <sz val="10"/>
      <color rgb="FF64748B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0D9488"/>
      </patternFill>
    </fill>
  </fills>
  <borders count="2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ck">
        <color rgb="FF2563EB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ck">
        <color rgb="FFD97706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ck">
        <color rgb="FF0D9488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ck">
        <color rgb="FFDC2626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ck">
        <color rgb="FF10B98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ck">
        <color rgb="FF1E293B"/>
      </top>
      <bottom style="thin">
        <color rgb="FFCBD5E1"/>
      </bottom>
      <diagonal/>
    </border>
    <border>
      <left style="medium">
        <color rgb="FF1E293B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D9488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medium">
        <color rgb="FF1E293B"/>
      </bottom>
      <diagonal/>
    </border>
    <border>
      <left/>
      <right/>
      <top/>
      <bottom style="thin">
        <color rgb="FFCBD5E1"/>
      </bottom>
      <diagonal/>
    </border>
    <border>
      <left style="medium">
        <color rgb="FF2563EB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ck">
        <color theme="3" tint="0.39994506668294322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ck">
        <color theme="2" tint="-0.499984740745262"/>
      </top>
      <bottom style="thin">
        <color rgb="FFCBD5E1"/>
      </bottom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8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0" fillId="3" borderId="0" xfId="0" applyFill="1"/>
    <xf numFmtId="0" fontId="6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right" vertical="center" wrapText="1"/>
    </xf>
    <xf numFmtId="0" fontId="0" fillId="6" borderId="2" xfId="0" applyFill="1" applyBorder="1"/>
    <xf numFmtId="164" fontId="9" fillId="8" borderId="2" xfId="0" applyNumberFormat="1" applyFont="1" applyFill="1" applyBorder="1" applyAlignment="1">
      <alignment horizontal="center" vertical="center" wrapText="1"/>
    </xf>
    <xf numFmtId="165" fontId="10" fillId="8" borderId="2" xfId="0" applyNumberFormat="1" applyFont="1" applyFill="1" applyBorder="1" applyAlignment="1">
      <alignment horizontal="center" vertical="center" wrapText="1"/>
    </xf>
    <xf numFmtId="166" fontId="11" fillId="8" borderId="2" xfId="0" applyNumberFormat="1" applyFont="1" applyFill="1" applyBorder="1" applyAlignment="1">
      <alignment horizontal="center" vertical="center" wrapText="1"/>
    </xf>
    <xf numFmtId="166" fontId="12" fillId="8" borderId="2" xfId="0" applyNumberFormat="1" applyFont="1" applyFill="1" applyBorder="1" applyAlignment="1">
      <alignment horizontal="center" vertical="center" wrapText="1"/>
    </xf>
    <xf numFmtId="1" fontId="13" fillId="8" borderId="2" xfId="0" applyNumberFormat="1" applyFont="1" applyFill="1" applyBorder="1" applyAlignment="1">
      <alignment horizontal="center" vertical="center" wrapText="1"/>
    </xf>
    <xf numFmtId="166" fontId="14" fillId="8" borderId="2" xfId="0" applyNumberFormat="1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right" vertical="center" wrapText="1"/>
    </xf>
    <xf numFmtId="0" fontId="8" fillId="8" borderId="10" xfId="0" applyFont="1" applyFill="1" applyBorder="1" applyAlignment="1">
      <alignment horizontal="right" vertical="center" wrapText="1"/>
    </xf>
    <xf numFmtId="0" fontId="16" fillId="8" borderId="10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right" vertical="center" wrapText="1"/>
    </xf>
    <xf numFmtId="0" fontId="8" fillId="6" borderId="10" xfId="0" applyFont="1" applyFill="1" applyBorder="1" applyAlignment="1">
      <alignment horizontal="right" vertical="center" wrapText="1"/>
    </xf>
    <xf numFmtId="2" fontId="16" fillId="6" borderId="10" xfId="0" applyNumberFormat="1" applyFont="1" applyFill="1" applyBorder="1" applyAlignment="1">
      <alignment horizontal="center" vertical="center" wrapText="1"/>
    </xf>
    <xf numFmtId="2" fontId="16" fillId="8" borderId="10" xfId="0" applyNumberFormat="1" applyFont="1" applyFill="1" applyBorder="1" applyAlignment="1">
      <alignment horizontal="center" vertical="center" wrapText="1"/>
    </xf>
    <xf numFmtId="166" fontId="16" fillId="6" borderId="10" xfId="0" applyNumberFormat="1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right" vertical="center" wrapText="1"/>
    </xf>
    <xf numFmtId="164" fontId="18" fillId="8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right" vertical="center" wrapText="1"/>
    </xf>
    <xf numFmtId="164" fontId="18" fillId="6" borderId="2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ill="1"/>
    <xf numFmtId="0" fontId="0" fillId="0" borderId="12" xfId="0" applyBorder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/>
    <xf numFmtId="0" fontId="0" fillId="0" borderId="18" xfId="0" applyBorder="1" applyAlignment="1">
      <alignment horizontal="center" vertical="center"/>
    </xf>
    <xf numFmtId="0" fontId="0" fillId="0" borderId="17" xfId="0" applyBorder="1"/>
    <xf numFmtId="0" fontId="0" fillId="0" borderId="16" xfId="0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1" xfId="0" applyFill="1" applyBorder="1" applyAlignment="1">
      <alignment horizontal="right" vertical="center"/>
    </xf>
    <xf numFmtId="9" fontId="0" fillId="0" borderId="1" xfId="1" applyFont="1" applyBorder="1" applyAlignment="1">
      <alignment horizontal="right" vertical="center"/>
    </xf>
    <xf numFmtId="9" fontId="18" fillId="8" borderId="2" xfId="1" applyFont="1" applyFill="1" applyBorder="1" applyAlignment="1">
      <alignment horizontal="center" vertical="center" wrapText="1"/>
    </xf>
    <xf numFmtId="9" fontId="18" fillId="6" borderId="2" xfId="1" applyFont="1" applyFill="1" applyBorder="1" applyAlignment="1">
      <alignment horizontal="center" vertical="center" wrapText="1"/>
    </xf>
    <xf numFmtId="2" fontId="18" fillId="8" borderId="2" xfId="0" applyNumberFormat="1" applyFont="1" applyFill="1" applyBorder="1" applyAlignment="1">
      <alignment horizontal="center" vertical="center" wrapText="1"/>
    </xf>
    <xf numFmtId="2" fontId="18" fillId="8" borderId="2" xfId="1" applyNumberFormat="1" applyFont="1" applyFill="1" applyBorder="1" applyAlignment="1">
      <alignment horizontal="center" vertical="center" wrapText="1"/>
    </xf>
    <xf numFmtId="2" fontId="18" fillId="6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vertical="center" wrapText="1"/>
    </xf>
    <xf numFmtId="0" fontId="20" fillId="8" borderId="9" xfId="0" applyFont="1" applyFill="1" applyBorder="1" applyAlignment="1">
      <alignment horizontal="center" vertical="center" wrapText="1"/>
    </xf>
    <xf numFmtId="2" fontId="20" fillId="6" borderId="9" xfId="0" applyNumberFormat="1" applyFont="1" applyFill="1" applyBorder="1" applyAlignment="1">
      <alignment horizontal="center" vertical="center" wrapText="1"/>
    </xf>
    <xf numFmtId="2" fontId="20" fillId="8" borderId="9" xfId="0" applyNumberFormat="1" applyFont="1" applyFill="1" applyBorder="1" applyAlignment="1">
      <alignment horizontal="center" vertical="center" wrapText="1"/>
    </xf>
    <xf numFmtId="9" fontId="21" fillId="8" borderId="2" xfId="1" applyFont="1" applyFill="1" applyBorder="1" applyAlignment="1">
      <alignment horizontal="center" vertical="center" wrapText="1"/>
    </xf>
    <xf numFmtId="167" fontId="22" fillId="8" borderId="2" xfId="0" applyNumberFormat="1" applyFont="1" applyFill="1" applyBorder="1" applyAlignment="1">
      <alignment horizontal="center" vertical="center" wrapText="1"/>
    </xf>
    <xf numFmtId="2" fontId="23" fillId="8" borderId="2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5" borderId="0" xfId="0" applyFill="1"/>
    <xf numFmtId="0" fontId="15" fillId="4" borderId="0" xfId="0" applyFont="1" applyFill="1" applyAlignment="1">
      <alignment horizontal="right" vertical="center" wrapText="1"/>
    </xf>
    <xf numFmtId="0" fontId="0" fillId="0" borderId="0" xfId="0"/>
    <xf numFmtId="0" fontId="15" fillId="9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/>
    <xf numFmtId="0" fontId="24" fillId="8" borderId="22" xfId="0" applyFont="1" applyFill="1" applyBorder="1" applyAlignment="1">
      <alignment horizontal="center" vertical="center" wrapText="1"/>
    </xf>
    <xf numFmtId="0" fontId="24" fillId="8" borderId="23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5" fillId="8" borderId="26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33"/>
      <color rgb="FFF8F8F8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ar-SA"/>
              <a:t>پارتو تأخیرات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داشبرد!$E$26</c:f>
              <c:strCache>
                <c:ptCount val="1"/>
                <c:pt idx="0">
                  <c:v>سهم درصدی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داشبرد!$B$27:$B$29</c:f>
              <c:strCache>
                <c:ptCount val="3"/>
                <c:pt idx="0">
                  <c:v>تشریفات و ارزیابی گمرک</c:v>
                </c:pt>
                <c:pt idx="1">
                  <c:v>تخصیص و بارگیری ناوگان</c:v>
                </c:pt>
                <c:pt idx="2">
                  <c:v>حمل و ترانزیت جاده‌ای</c:v>
                </c:pt>
              </c:strCache>
            </c:strRef>
          </c:cat>
          <c:val>
            <c:numRef>
              <c:f>داشبرد!$E$27:$E$29</c:f>
              <c:numCache>
                <c:formatCode>0%</c:formatCode>
                <c:ptCount val="3"/>
                <c:pt idx="0">
                  <c:v>0.48736462093862815</c:v>
                </c:pt>
                <c:pt idx="1">
                  <c:v>0.33977489912932685</c:v>
                </c:pt>
                <c:pt idx="2">
                  <c:v>0.17286047993204501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C-44A6-BF37-67B1CD8E8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داشبرد!$F$26</c:f>
              <c:strCache>
                <c:ptCount val="1"/>
                <c:pt idx="0">
                  <c:v>سهم تجمعی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داشبرد!$F$27:$F$29</c:f>
              <c:numCache>
                <c:formatCode>0%</c:formatCode>
                <c:ptCount val="3"/>
                <c:pt idx="0">
                  <c:v>0.48736462093862798</c:v>
                </c:pt>
                <c:pt idx="1">
                  <c:v>0.82713952006795499</c:v>
                </c:pt>
                <c:pt idx="2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5C-44A6-BF37-67B1CD8E8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Title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Title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Title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txData>
          <cx:v>باکس پلات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a-IR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mbria"/>
            </a:rPr>
            <a:t>باکس پلات</a:t>
          </a:r>
        </a:p>
      </cx:txPr>
    </cx:title>
    <cx:plotArea>
      <cx:plotAreaRegion>
        <cx:series layoutId="boxWhisker" uniqueId="{6524ADEE-08E0-4C13-AC94-92983E590A84}">
          <cx:tx>
            <cx:txData>
              <cx:f>_xlchart.v1.3</cx:f>
              <cx:v>فاز چهار: کل چرخه لجستیک | کل فاز (بدون لحاظ مسیر)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فاز سه: حمل بین شهری تا انبار مقصد | بندرعباس به زرندیه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1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ar-SA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  <a:cs typeface="Arial" panose="020B0604020202020204" pitchFamily="34" charset="0"/>
            </a:rPr>
            <a:t>فاز سه: حمل بین شهری تا انبار مقصد | بندرعباس به زرندیه</a:t>
          </a:r>
        </a:p>
      </cx:txPr>
    </cx:title>
    <cx:plotArea>
      <cx:plotAreaRegion>
        <cx:series layoutId="clusteredColumn" uniqueId="{985E7AE6-A892-4D19-A0BE-67FBD9097E15}">
          <cx:tx>
            <cx:txData>
              <cx:f>_xlchart.v1.0</cx:f>
              <cx:v>فاز چهار: کل چرخه لجستیک | کل فاز (بدون لحاظ مسیر)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majorGridlines/>
        <cx:minorTickMarks type="out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/>
    <cx:plotArea>
      <cx:plotAreaRegion>
        <cx:series layoutId="boxWhisker" uniqueId="{1A6B169D-029C-44EB-AC62-82DC92DF420B}">
          <cx:tx>
            <cx:txData>
              <cx:f>_xlchart.v1.5</cx:f>
              <cx:v>فاز چهار: کل چرخه لجستیک | کل فاز (بدون لحاظ مسیر)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24</xdr:row>
      <xdr:rowOff>0</xdr:rowOff>
    </xdr:from>
    <xdr:ext cx="5580000" cy="295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7</xdr:col>
      <xdr:colOff>435098</xdr:colOff>
      <xdr:row>10</xdr:row>
      <xdr:rowOff>124866</xdr:rowOff>
    </xdr:from>
    <xdr:to>
      <xdr:col>17</xdr:col>
      <xdr:colOff>180108</xdr:colOff>
      <xdr:row>23</xdr:row>
      <xdr:rowOff>83127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5971E75-B6AB-4062-9668-6041DF7C32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5923892" y="3210966"/>
              <a:ext cx="7441210" cy="34939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381525</xdr:colOff>
      <xdr:row>10</xdr:row>
      <xdr:rowOff>209333</xdr:rowOff>
    </xdr:from>
    <xdr:to>
      <xdr:col>28</xdr:col>
      <xdr:colOff>13855</xdr:colOff>
      <xdr:row>23</xdr:row>
      <xdr:rowOff>166254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94422B5-17E6-4FBC-A781-DA4205FFA4E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0603745" y="3295433"/>
              <a:ext cx="5118730" cy="34926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174171</xdr:colOff>
      <xdr:row>11</xdr:row>
      <xdr:rowOff>62049</xdr:rowOff>
    </xdr:from>
    <xdr:to>
      <xdr:col>37</xdr:col>
      <xdr:colOff>478971</xdr:colOff>
      <xdr:row>26</xdr:row>
      <xdr:rowOff>29392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7556E484-F9E3-FD2E-3CBE-880D4C0F01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4652229" y="2576649"/>
              <a:ext cx="4572000" cy="27105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172A"/>
  </sheetPr>
  <dimension ref="A1:AC40"/>
  <sheetViews>
    <sheetView showGridLines="0" rightToLeft="1" tabSelected="1" zoomScale="85" zoomScaleNormal="85" workbookViewId="0">
      <pane ySplit="3" topLeftCell="A4" activePane="bottomLeft" state="frozen"/>
      <selection pane="bottomLeft" activeCell="D4" sqref="D4:F4"/>
    </sheetView>
  </sheetViews>
  <sheetFormatPr defaultRowHeight="14.4" x14ac:dyDescent="0.3"/>
  <cols>
    <col min="1" max="1" width="2.44140625" customWidth="1"/>
    <col min="2" max="2" width="22" customWidth="1"/>
    <col min="3" max="3" width="21.44140625" customWidth="1"/>
    <col min="4" max="4" width="22.33203125" customWidth="1"/>
    <col min="5" max="5" width="24" customWidth="1"/>
    <col min="6" max="6" width="18" customWidth="1"/>
    <col min="7" max="7" width="22" customWidth="1"/>
    <col min="8" max="8" width="20.44140625" customWidth="1"/>
    <col min="9" max="9" width="16.33203125" customWidth="1"/>
    <col min="10" max="10" width="13.21875" bestFit="1" customWidth="1"/>
    <col min="27" max="28" width="13" hidden="1" customWidth="1"/>
  </cols>
  <sheetData>
    <row r="1" spans="1:29" ht="34.049999999999997" customHeight="1" x14ac:dyDescent="0.3">
      <c r="A1" s="4"/>
      <c r="B1" s="71" t="s">
        <v>218</v>
      </c>
      <c r="C1" s="72"/>
      <c r="D1" s="72"/>
      <c r="E1" s="72"/>
      <c r="F1" s="72"/>
      <c r="G1" s="7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2.05" customHeight="1" x14ac:dyDescent="0.3">
      <c r="A2" s="4"/>
      <c r="B2" s="66"/>
      <c r="C2" s="67"/>
      <c r="D2" s="67"/>
      <c r="E2" s="67"/>
      <c r="F2" s="67"/>
      <c r="G2" s="6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0</v>
      </c>
      <c r="AB2" s="4" t="s">
        <v>1</v>
      </c>
      <c r="AC2" s="4"/>
    </row>
    <row r="3" spans="1:29" ht="27.6" customHeight="1" x14ac:dyDescent="0.3">
      <c r="A3" s="4"/>
      <c r="B3" s="5"/>
      <c r="C3" s="6" t="s">
        <v>2</v>
      </c>
      <c r="D3" s="75" t="s">
        <v>10</v>
      </c>
      <c r="E3" s="76"/>
      <c r="F3" s="77"/>
      <c r="G3" s="5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4</v>
      </c>
      <c r="AB3" s="4" t="s">
        <v>5</v>
      </c>
      <c r="AC3" s="4"/>
    </row>
    <row r="4" spans="1:29" ht="24" customHeight="1" x14ac:dyDescent="0.3">
      <c r="A4" s="4"/>
      <c r="B4" s="5" t="s">
        <v>6</v>
      </c>
      <c r="C4" s="6" t="s">
        <v>9</v>
      </c>
      <c r="D4" s="75" t="s">
        <v>1</v>
      </c>
      <c r="E4" s="76"/>
      <c r="F4" s="77"/>
      <c r="G4" s="5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 t="s">
        <v>3</v>
      </c>
      <c r="AB4" s="4" t="s">
        <v>7</v>
      </c>
      <c r="AC4" s="4"/>
    </row>
    <row r="5" spans="1:29" ht="24" customHeight="1" x14ac:dyDescent="0.3">
      <c r="A5" s="4"/>
      <c r="B5" s="5" t="s">
        <v>8</v>
      </c>
      <c r="C5" s="6" t="s">
        <v>204</v>
      </c>
      <c r="D5" s="75" t="str">
        <f>D3&amp;" | "&amp;D4</f>
        <v>فاز چهار: کل چرخه لجستیک | کل فاز (بدون لحاظ مسیر)</v>
      </c>
      <c r="E5" s="76"/>
      <c r="F5" s="77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 t="s">
        <v>10</v>
      </c>
      <c r="AB5" s="4" t="s">
        <v>11</v>
      </c>
      <c r="AC5" s="4"/>
    </row>
    <row r="6" spans="1:29" ht="15" thickBo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 t="s">
        <v>12</v>
      </c>
      <c r="AC6" s="4"/>
    </row>
    <row r="7" spans="1:29" ht="30" customHeight="1" thickTop="1" x14ac:dyDescent="0.3">
      <c r="A7" s="4"/>
      <c r="B7" s="57" t="s">
        <v>13</v>
      </c>
      <c r="C7" s="58" t="s">
        <v>14</v>
      </c>
      <c r="D7" s="59" t="s">
        <v>15</v>
      </c>
      <c r="E7" s="60" t="s">
        <v>16</v>
      </c>
      <c r="F7" s="61" t="s">
        <v>17</v>
      </c>
      <c r="G7" s="62" t="s">
        <v>18</v>
      </c>
      <c r="H7" s="63" t="s">
        <v>213</v>
      </c>
      <c r="I7" s="62" t="s">
        <v>214</v>
      </c>
      <c r="J7" s="64" t="s">
        <v>215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 t="s">
        <v>19</v>
      </c>
      <c r="AC7" s="4"/>
    </row>
    <row r="8" spans="1:29" ht="34.049999999999997" customHeight="1" x14ac:dyDescent="0.3">
      <c r="A8" s="4"/>
      <c r="B8" s="8">
        <f>INDEX(محاسبات!$H$2:$H$29,MATCH($D$5,محاسبات!$C$2:$C$29,0))</f>
        <v>16.878136200716849</v>
      </c>
      <c r="C8" s="9">
        <f>INDEX(محاسبات!$M$2:$M$29,MATCH($D$5,محاسبات!$C$2:$C$29,0))</f>
        <v>7.9059332238899147</v>
      </c>
      <c r="D8" s="10">
        <f>INDEX(محاسبات!$N$2:$N$29,MATCH($D$5,محاسبات!$C$2:$C$29,0))</f>
        <v>27.405744751112501</v>
      </c>
      <c r="E8" s="11">
        <f>INDEX(محاسبات!$O$2:$O$29,MATCH($D$5,محاسبات!$C$2:$C$29,0))</f>
        <v>100</v>
      </c>
      <c r="F8" s="12">
        <f>INDEX(محاسبات!$D:$D,MATCH($D$5,محاسبات!$C:$C,0))</f>
        <v>279</v>
      </c>
      <c r="G8" s="13">
        <f>INDEX(محاسبات!$P$2:$P$29,MATCH($D$5,محاسبات!$C$2:$C$29,0))</f>
        <v>69.892473118279568</v>
      </c>
      <c r="H8" s="54">
        <f>_xlfn.AGGREGATE(7, 6,'پایگاه داده باکس پلات'!$AD$3:$AD$281) / _xlfn.AGGREGATE(1, 6,'پایگاه داده باکس پلات'!AD3:AD281)</f>
        <v>1.2709711034996782</v>
      </c>
      <c r="I8" s="55" cm="1">
        <f t="array" ref="I8">SKEW(_xlfn._xlws.FILTER('پایگاه داده باکس پلات'!$AD$3:$AD$281, ISNUMBER('پایگاه داده باکس پلات'!$AD$3:$AD$281)))</f>
        <v>5.4624491339522567</v>
      </c>
      <c r="J8" s="56">
        <f>_xlfn.AGGREGATE(7, 6,'پایگاه داده باکس پلات'!$AD$3:$AD$281)</f>
        <v>21.451623392042954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 t="s">
        <v>20</v>
      </c>
      <c r="AC8" s="4"/>
    </row>
    <row r="9" spans="1:29" ht="16.05" customHeight="1" x14ac:dyDescent="0.3">
      <c r="A9" s="4"/>
      <c r="B9" s="73" t="s">
        <v>21</v>
      </c>
      <c r="C9" s="73" t="s">
        <v>22</v>
      </c>
      <c r="D9" s="73" t="s">
        <v>22</v>
      </c>
      <c r="E9" s="73" t="s">
        <v>22</v>
      </c>
      <c r="F9" s="73" t="s">
        <v>23</v>
      </c>
      <c r="G9" s="73" t="s">
        <v>22</v>
      </c>
      <c r="H9" s="73" t="s">
        <v>22</v>
      </c>
      <c r="I9" s="73" t="s">
        <v>216</v>
      </c>
      <c r="J9" s="73" t="s">
        <v>21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8" customHeight="1" thickBot="1" x14ac:dyDescent="0.35">
      <c r="A10" s="4"/>
      <c r="B10" s="74"/>
      <c r="C10" s="74"/>
      <c r="D10" s="74"/>
      <c r="E10" s="74"/>
      <c r="F10" s="74"/>
      <c r="G10" s="74"/>
      <c r="H10" s="74"/>
      <c r="I10" s="74"/>
      <c r="J10" s="7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37.799999999999997" customHeight="1" x14ac:dyDescent="0.3">
      <c r="A11" s="4"/>
      <c r="B11" s="68" t="s">
        <v>217</v>
      </c>
      <c r="C11" s="69"/>
      <c r="D11" s="4"/>
      <c r="E11" s="70" t="s">
        <v>24</v>
      </c>
      <c r="F11" s="6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3">
      <c r="A12" s="4"/>
      <c r="B12" s="14" t="s">
        <v>25</v>
      </c>
      <c r="C12" s="51" t="s">
        <v>26</v>
      </c>
      <c r="D12" s="4"/>
      <c r="E12" s="15" t="s">
        <v>27</v>
      </c>
      <c r="F12" s="16" t="str">
        <f>IF(AND($D$3="فاز سه: حمل بین شهری تا انبار مقصد",OR($D$4="کل فاز (بدون لحاظ مسیر)",$D$4="بندرعباس به اصفهان",$D$4="بندرعباس به تهران",$D$4="بندرعباس به زرندیه")),INDEX(محاسبات!$W:$W,MATCH($D$5,محاسبات!$C:$C,0)),"-")</f>
        <v>-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31.2" customHeight="1" x14ac:dyDescent="0.3">
      <c r="A13" s="4"/>
      <c r="B13" s="17" t="s">
        <v>184</v>
      </c>
      <c r="C13" s="52">
        <f>INDEX(محاسبات!$E:$E,MATCH($D$5,محاسبات!$C:$C,0))</f>
        <v>3</v>
      </c>
      <c r="D13" s="4"/>
      <c r="E13" s="18" t="s">
        <v>28</v>
      </c>
      <c r="F13" s="19" t="str">
        <f>IF(AND($D$3="فاز سه: حمل بین شهری تا انبار مقصد",OR($D$4="کل فاز (بدون لحاظ مسیر)",$D$4="بندرعباس به اصفهان",$D$4="بندرعباس به تهران",$D$4="بندرعباس به زرندیه")),INDEX(محاسبات!$X:$X,MATCH($D$5,محاسبات!$C:$C,0)),"-")</f>
        <v>-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26.4" x14ac:dyDescent="0.3">
      <c r="A14" s="4"/>
      <c r="B14" s="14" t="s">
        <v>185</v>
      </c>
      <c r="C14" s="53">
        <f>INDEX(محاسبات!$F:$F,MATCH($D$5,محاسبات!$C:$C,0))</f>
        <v>8</v>
      </c>
      <c r="D14" s="4"/>
      <c r="E14" s="15" t="s">
        <v>29</v>
      </c>
      <c r="F14" s="20" t="str">
        <f>IF(AND($D$3="فاز سه: حمل بین شهری تا انبار مقصد",OR($D$4="کل فاز (بدون لحاظ مسیر)",$D$4="بندرعباس به اصفهان",$D$4="بندرعباس به تهران",$D$4="بندرعباس به زرندیه")),INDEX(محاسبات!$Y:$Y,MATCH($D$5,محاسبات!$C:$C,0)),"-")</f>
        <v>-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26.4" x14ac:dyDescent="0.3">
      <c r="A15" s="4"/>
      <c r="B15" s="17" t="s">
        <v>186</v>
      </c>
      <c r="C15" s="52">
        <f>INDEX(محاسبات!$G:$G,MATCH($D$5,محاسبات!$C:$C,0))</f>
        <v>11</v>
      </c>
      <c r="D15" s="4"/>
      <c r="E15" s="18" t="s">
        <v>30</v>
      </c>
      <c r="F15" s="21" t="str">
        <f>IF(AND($D$3="فاز سه: حمل بین شهری تا انبار مقصد",OR($D$4="کل فاز (بدون لحاظ مسیر)",$D$4="بندرعباس به اصفهان",$D$4="بندرعباس به تهران",$D$4="بندرعباس به زرندیه")),INDEX(محاسبات!$Z:$Z,MATCH($D$5,محاسبات!$C:$C,0)),"-")</f>
        <v>-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9.95" customHeight="1" x14ac:dyDescent="0.3">
      <c r="A16" s="4"/>
      <c r="B16" s="14" t="s">
        <v>188</v>
      </c>
      <c r="C16" s="53">
        <f>INDEX(محاسبات!$I:$I,MATCH($D$5,محاسبات!$C:$C,0))</f>
        <v>16</v>
      </c>
      <c r="D16" s="4"/>
      <c r="E16" s="15" t="s">
        <v>31</v>
      </c>
      <c r="F16" s="20" t="str">
        <f>IF(AND($D$3="فاز سه: حمل بین شهری تا انبار مقصد",OR($D$4="کل فاز (بدون لحاظ مسیر)",$D$4="بندرعباس به اصفهان",$D$4="بندرعباس به تهران",$D$4="بندرعباس به زرندیه")),INDEX(محاسبات!$AA:$AA,MATCH($D$5,محاسبات!$C:$C,0)),"-")</f>
        <v>-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9.95" customHeight="1" x14ac:dyDescent="0.3">
      <c r="A17" s="4"/>
      <c r="B17" s="17" t="s">
        <v>189</v>
      </c>
      <c r="C17" s="52">
        <f>INDEX(محاسبات!$J:$J,MATCH($D$5,محاسبات!$C:$C,0))</f>
        <v>183</v>
      </c>
      <c r="D17" s="4"/>
      <c r="E17" s="18" t="s">
        <v>32</v>
      </c>
      <c r="F17" s="21" t="str">
        <f>IF(AND($D$3="فاز سه: حمل بین شهری تا انبار مقصد",OR($D$4="کل فاز (بدون لحاظ مسیر)",$D$4="بندرعباس به اصفهان",$D$4="بندرعباس به تهران",$D$4="بندرعباس به زرندیه")),INDEX(محاسبات!$AB:$AB,MATCH($D$5,محاسبات!$C:$C,0)),"-")</f>
        <v>-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9.95" customHeight="1" x14ac:dyDescent="0.3">
      <c r="A18" s="4"/>
      <c r="B18" s="14" t="s">
        <v>190</v>
      </c>
      <c r="C18" s="53">
        <f>INDEX(محاسبات!$K:$K,MATCH($D$5,محاسبات!$C:$C,0))</f>
        <v>8</v>
      </c>
      <c r="D18" s="4"/>
      <c r="E18" s="15" t="s">
        <v>33</v>
      </c>
      <c r="F18" s="20" t="str">
        <f>IF(AND($D$3="فاز سه: حمل بین شهری تا انبار مقصد",OR($D$4="کل فاز (بدون لحاظ مسیر)",$D$4="بندرعباس به اصفهان",$D$4="بندرعباس به تهران",$D$4="بندرعباس به زرندیه")),INDEX(محاسبات!$AC:$AC,MATCH($D$5,محاسبات!$C:$C,0)),"-")</f>
        <v>-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9.95" customHeight="1" x14ac:dyDescent="0.3">
      <c r="A19" s="4"/>
      <c r="B19" s="17" t="s">
        <v>191</v>
      </c>
      <c r="C19" s="52">
        <f>INDEX(محاسبات!$L:$L,MATCH($D$5,محاسبات!$C:$C,0))</f>
        <v>29</v>
      </c>
      <c r="D19" s="4"/>
      <c r="E19" s="18" t="s">
        <v>34</v>
      </c>
      <c r="F19" s="19" t="str">
        <f>IF(AND($D$3="فاز سه: حمل بین شهری تا انبار مقصد",OR($D$4="کل فاز (بدون لحاظ مسیر)",$D$4="بندرعباس به اصفهان",$D$4="بندرعباس به تهران",$D$4="بندرعباس به زرندیه")),INDEX(محاسبات!$AD:$AD,MATCH($D$5,محاسبات!$C:$C,0)),"-")</f>
        <v>-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9.95" customHeight="1" x14ac:dyDescent="0.3">
      <c r="A20" s="4"/>
      <c r="B20" s="4"/>
      <c r="C20" s="4"/>
      <c r="D20" s="4"/>
      <c r="E20" s="15" t="s">
        <v>35</v>
      </c>
      <c r="F20" s="20" t="str">
        <f>IF(AND($D$3="فاز سه: حمل بین شهری تا انبار مقصد",OR($D$4="کل فاز (بدون لحاظ مسیر)",$D$4="بندرعباس به اصفهان",$D$4="بندرعباس به تهران",$D$4="بندرعباس به زرندیه")),INDEX(محاسبات!$AE:$AE,MATCH($D$5,محاسبات!$C:$C,0)),"-")</f>
        <v>-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9.95" customHeight="1" x14ac:dyDescent="0.3">
      <c r="A25" s="4"/>
      <c r="B25" s="65" t="s">
        <v>212</v>
      </c>
      <c r="C25" s="65"/>
      <c r="D25" s="65"/>
      <c r="E25" s="65"/>
      <c r="F25" s="6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9.8" customHeight="1" x14ac:dyDescent="0.3">
      <c r="A26" s="4"/>
      <c r="B26" s="22" t="s">
        <v>205</v>
      </c>
      <c r="C26" s="22" t="s">
        <v>206</v>
      </c>
      <c r="D26" s="22" t="s">
        <v>207</v>
      </c>
      <c r="E26" s="22" t="s">
        <v>208</v>
      </c>
      <c r="F26" s="22" t="s">
        <v>36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27" customHeight="1" x14ac:dyDescent="0.3">
      <c r="A27" s="4"/>
      <c r="B27" s="23" t="s">
        <v>209</v>
      </c>
      <c r="C27" s="24">
        <v>2295</v>
      </c>
      <c r="D27" s="48">
        <v>8.2258064516129039</v>
      </c>
      <c r="E27" s="45">
        <v>0.48736462093862815</v>
      </c>
      <c r="F27" s="45">
        <v>0.48736462093862798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35.4" customHeight="1" x14ac:dyDescent="0.3">
      <c r="A28" s="4"/>
      <c r="B28" s="25" t="s">
        <v>210</v>
      </c>
      <c r="C28" s="26">
        <v>1600</v>
      </c>
      <c r="D28" s="49">
        <v>5.7347670250896057</v>
      </c>
      <c r="E28" s="46">
        <v>0.33977489912932685</v>
      </c>
      <c r="F28" s="46">
        <v>0.82713952006795499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9.95" customHeight="1" x14ac:dyDescent="0.3">
      <c r="A29" s="4"/>
      <c r="B29" s="23" t="s">
        <v>211</v>
      </c>
      <c r="C29" s="24">
        <v>814</v>
      </c>
      <c r="D29" s="47">
        <v>2.9175627240143398</v>
      </c>
      <c r="E29" s="45">
        <v>0.17286047993204501</v>
      </c>
      <c r="F29" s="45">
        <v>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9.9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9" ht="19.9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9" ht="19.9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9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</sheetData>
  <mergeCells count="17">
    <mergeCell ref="H9:H10"/>
    <mergeCell ref="I9:I10"/>
    <mergeCell ref="J9:J10"/>
    <mergeCell ref="D4:F4"/>
    <mergeCell ref="D5:F5"/>
    <mergeCell ref="B25:F25"/>
    <mergeCell ref="B2:G2"/>
    <mergeCell ref="B11:C11"/>
    <mergeCell ref="E11:F11"/>
    <mergeCell ref="B1:G1"/>
    <mergeCell ref="B9:B10"/>
    <mergeCell ref="C9:C10"/>
    <mergeCell ref="D9:D10"/>
    <mergeCell ref="E9:E10"/>
    <mergeCell ref="F9:F10"/>
    <mergeCell ref="G9:G10"/>
    <mergeCell ref="D3:F3"/>
  </mergeCells>
  <dataValidations count="2">
    <dataValidation type="list" sqref="D3" xr:uid="{00000000-0002-0000-0000-000000000000}">
      <formula1>$AA$2:$AA$5</formula1>
    </dataValidation>
    <dataValidation type="list" sqref="D4" xr:uid="{00000000-0002-0000-0000-000001000000}">
      <formula1>$AB$2:$AB$8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9"/>
  <sheetViews>
    <sheetView rightToLeft="1" zoomScaleNormal="100" workbookViewId="0">
      <pane ySplit="1" topLeftCell="A2" activePane="bottomLeft" state="frozen"/>
      <selection pane="bottomLeft" activeCell="L1" sqref="L1"/>
    </sheetView>
  </sheetViews>
  <sheetFormatPr defaultRowHeight="14.4" x14ac:dyDescent="0.3"/>
  <cols>
    <col min="1" max="1" width="24" customWidth="1"/>
    <col min="2" max="2" width="30" customWidth="1"/>
    <col min="3" max="3" width="44" customWidth="1"/>
    <col min="4" max="4" width="7" customWidth="1"/>
    <col min="5" max="6" width="8" customWidth="1"/>
    <col min="7" max="8" width="9" customWidth="1"/>
    <col min="9" max="11" width="8" customWidth="1"/>
    <col min="12" max="12" width="9" customWidth="1"/>
    <col min="13" max="14" width="10" customWidth="1"/>
    <col min="15" max="17" width="9" customWidth="1"/>
    <col min="18" max="18" width="20" customWidth="1"/>
    <col min="19" max="19" width="30" customWidth="1"/>
    <col min="20" max="20" width="10" customWidth="1"/>
    <col min="21" max="21" width="9" customWidth="1"/>
    <col min="22" max="22" width="10" customWidth="1"/>
    <col min="23" max="27" width="9" customWidth="1"/>
    <col min="28" max="28" width="10" customWidth="1"/>
    <col min="29" max="31" width="9" customWidth="1"/>
  </cols>
  <sheetData>
    <row r="1" spans="1:31" ht="72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92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41</v>
      </c>
      <c r="S1" s="1" t="s">
        <v>42</v>
      </c>
      <c r="T1" s="1" t="s">
        <v>201</v>
      </c>
      <c r="U1" s="1" t="s">
        <v>202</v>
      </c>
      <c r="V1" s="1" t="s">
        <v>203</v>
      </c>
      <c r="W1" s="1" t="s">
        <v>196</v>
      </c>
      <c r="X1" s="1" t="s">
        <v>197</v>
      </c>
      <c r="Y1" s="1" t="s">
        <v>198</v>
      </c>
      <c r="Z1" s="1" t="s">
        <v>199</v>
      </c>
      <c r="AA1" s="1" t="s">
        <v>200</v>
      </c>
      <c r="AB1" s="1" t="s">
        <v>32</v>
      </c>
      <c r="AC1" s="1" t="s">
        <v>178</v>
      </c>
      <c r="AD1" s="1" t="s">
        <v>179</v>
      </c>
      <c r="AE1" s="1" t="s">
        <v>180</v>
      </c>
    </row>
    <row r="2" spans="1:31" x14ac:dyDescent="0.3">
      <c r="A2" s="2" t="s">
        <v>1</v>
      </c>
      <c r="B2" s="2" t="s">
        <v>0</v>
      </c>
      <c r="C2" s="2" t="s">
        <v>43</v>
      </c>
      <c r="D2" s="2">
        <v>279</v>
      </c>
      <c r="E2" s="2">
        <v>1</v>
      </c>
      <c r="F2" s="2">
        <v>3</v>
      </c>
      <c r="G2" s="2">
        <v>5</v>
      </c>
      <c r="H2" s="2">
        <v>8.2258064516129039</v>
      </c>
      <c r="I2" s="2">
        <v>10</v>
      </c>
      <c r="J2" s="2">
        <v>65</v>
      </c>
      <c r="K2" s="2">
        <v>7</v>
      </c>
      <c r="L2" s="2">
        <v>20</v>
      </c>
      <c r="M2" s="3">
        <v>7.9059332238899147</v>
      </c>
      <c r="N2" s="3">
        <v>27.405744751112501</v>
      </c>
      <c r="O2" s="3">
        <v>48.74</v>
      </c>
      <c r="P2" s="3">
        <v>69.892473118279568</v>
      </c>
      <c r="Q2" s="2">
        <v>84</v>
      </c>
      <c r="R2" s="2" t="s">
        <v>11</v>
      </c>
      <c r="S2" s="2" t="s">
        <v>0</v>
      </c>
      <c r="T2" s="2">
        <v>468</v>
      </c>
      <c r="U2" s="44">
        <v>0.3326226012793177</v>
      </c>
      <c r="V2" s="44">
        <v>0.3326226012793177</v>
      </c>
      <c r="W2" s="2" t="s">
        <v>44</v>
      </c>
      <c r="X2" s="2" t="s">
        <v>44</v>
      </c>
      <c r="Y2" s="2" t="s">
        <v>44</v>
      </c>
      <c r="Z2" s="2" t="s">
        <v>44</v>
      </c>
      <c r="AA2" s="2" t="s">
        <v>44</v>
      </c>
      <c r="AB2" s="2" t="s">
        <v>44</v>
      </c>
      <c r="AC2" s="2" t="s">
        <v>44</v>
      </c>
      <c r="AD2" s="2" t="s">
        <v>44</v>
      </c>
      <c r="AE2" s="2" t="s">
        <v>44</v>
      </c>
    </row>
    <row r="3" spans="1:31" x14ac:dyDescent="0.3">
      <c r="A3" s="2" t="s">
        <v>5</v>
      </c>
      <c r="B3" s="2" t="s">
        <v>0</v>
      </c>
      <c r="C3" s="2" t="s">
        <v>45</v>
      </c>
      <c r="D3" s="2">
        <v>10</v>
      </c>
      <c r="E3" s="2">
        <v>14</v>
      </c>
      <c r="F3" s="2">
        <v>14</v>
      </c>
      <c r="G3" s="2">
        <v>38</v>
      </c>
      <c r="H3" s="2">
        <v>36.5</v>
      </c>
      <c r="I3" s="2">
        <v>58.25</v>
      </c>
      <c r="J3" s="2">
        <v>65</v>
      </c>
      <c r="K3" s="2">
        <v>44.25</v>
      </c>
      <c r="L3" s="2">
        <v>0</v>
      </c>
      <c r="M3" s="3">
        <v>8.1469020300088282</v>
      </c>
      <c r="N3" s="3">
        <v>7.3511686495730899</v>
      </c>
      <c r="O3" s="3">
        <v>2.4700000000000002</v>
      </c>
      <c r="P3" s="3">
        <v>80</v>
      </c>
      <c r="Q3" s="2">
        <v>2</v>
      </c>
      <c r="R3" s="2" t="s">
        <v>5</v>
      </c>
      <c r="S3" s="2" t="s">
        <v>0</v>
      </c>
      <c r="T3" s="2">
        <v>365</v>
      </c>
      <c r="U3" s="44">
        <v>0.2594171997157072</v>
      </c>
      <c r="V3" s="44">
        <v>0.59203980099502496</v>
      </c>
      <c r="W3" s="2" t="s">
        <v>44</v>
      </c>
      <c r="X3" s="2" t="s">
        <v>44</v>
      </c>
      <c r="Y3" s="2" t="s">
        <v>44</v>
      </c>
      <c r="Z3" s="2" t="s">
        <v>44</v>
      </c>
      <c r="AA3" s="2" t="s">
        <v>44</v>
      </c>
      <c r="AB3" s="2" t="s">
        <v>44</v>
      </c>
      <c r="AC3" s="2" t="s">
        <v>44</v>
      </c>
      <c r="AD3" s="2" t="s">
        <v>44</v>
      </c>
      <c r="AE3" s="2" t="s">
        <v>44</v>
      </c>
    </row>
    <row r="4" spans="1:31" x14ac:dyDescent="0.3">
      <c r="A4" s="2" t="s">
        <v>7</v>
      </c>
      <c r="B4" s="2" t="s">
        <v>0</v>
      </c>
      <c r="C4" s="2" t="s">
        <v>46</v>
      </c>
      <c r="D4" s="2">
        <v>37</v>
      </c>
      <c r="E4" s="2">
        <v>2</v>
      </c>
      <c r="F4" s="2">
        <v>3</v>
      </c>
      <c r="G4" s="2">
        <v>6</v>
      </c>
      <c r="H4" s="2">
        <v>6.5675675675675684</v>
      </c>
      <c r="I4" s="2">
        <v>8</v>
      </c>
      <c r="J4" s="2">
        <v>15</v>
      </c>
      <c r="K4" s="2">
        <v>5</v>
      </c>
      <c r="L4" s="2">
        <v>0</v>
      </c>
      <c r="M4" s="3">
        <v>7.7890356404013286</v>
      </c>
      <c r="N4" s="3">
        <v>24.731144231144231</v>
      </c>
      <c r="O4" s="3">
        <v>4.9400000000000004</v>
      </c>
      <c r="P4" s="3">
        <v>89.189189189189193</v>
      </c>
      <c r="Q4" s="2">
        <v>4</v>
      </c>
      <c r="R4" s="2" t="s">
        <v>7</v>
      </c>
      <c r="S4" s="2" t="s">
        <v>0</v>
      </c>
      <c r="T4" s="2">
        <v>243</v>
      </c>
      <c r="U4" s="44">
        <v>0.1727078891257996</v>
      </c>
      <c r="V4" s="44">
        <v>0.76474769012082455</v>
      </c>
      <c r="W4" s="2" t="s">
        <v>44</v>
      </c>
      <c r="X4" s="2" t="s">
        <v>44</v>
      </c>
      <c r="Y4" s="2" t="s">
        <v>44</v>
      </c>
      <c r="Z4" s="2" t="s">
        <v>44</v>
      </c>
      <c r="AA4" s="2" t="s">
        <v>44</v>
      </c>
      <c r="AB4" s="2" t="s">
        <v>44</v>
      </c>
      <c r="AC4" s="2" t="s">
        <v>44</v>
      </c>
      <c r="AD4" s="2" t="s">
        <v>44</v>
      </c>
      <c r="AE4" s="2" t="s">
        <v>44</v>
      </c>
    </row>
    <row r="5" spans="1:31" x14ac:dyDescent="0.3">
      <c r="A5" s="2" t="s">
        <v>11</v>
      </c>
      <c r="B5" s="2" t="s">
        <v>0</v>
      </c>
      <c r="C5" s="2" t="s">
        <v>47</v>
      </c>
      <c r="D5" s="2">
        <v>103</v>
      </c>
      <c r="E5" s="2">
        <v>1</v>
      </c>
      <c r="F5" s="2">
        <v>2.5</v>
      </c>
      <c r="G5" s="2">
        <v>4</v>
      </c>
      <c r="H5" s="2">
        <v>4.5436893203883493</v>
      </c>
      <c r="I5" s="2">
        <v>5</v>
      </c>
      <c r="J5" s="2">
        <v>16</v>
      </c>
      <c r="K5" s="2">
        <v>2.5</v>
      </c>
      <c r="L5" s="2">
        <v>10</v>
      </c>
      <c r="M5" s="3">
        <v>8.1155294588142439</v>
      </c>
      <c r="N5" s="3">
        <v>34.111715850555512</v>
      </c>
      <c r="O5" s="3">
        <v>29.63</v>
      </c>
      <c r="P5" s="3">
        <v>76.699029126213588</v>
      </c>
      <c r="Q5" s="2">
        <v>24</v>
      </c>
      <c r="R5" s="2" t="s">
        <v>12</v>
      </c>
      <c r="S5" s="2" t="s">
        <v>0</v>
      </c>
      <c r="T5" s="2">
        <v>194</v>
      </c>
      <c r="U5" s="44">
        <v>0.13788201847903339</v>
      </c>
      <c r="V5" s="44">
        <v>0.90262970859985792</v>
      </c>
      <c r="W5" s="2" t="s">
        <v>44</v>
      </c>
      <c r="X5" s="2" t="s">
        <v>44</v>
      </c>
      <c r="Y5" s="2" t="s">
        <v>44</v>
      </c>
      <c r="Z5" s="2" t="s">
        <v>44</v>
      </c>
      <c r="AA5" s="2" t="s">
        <v>44</v>
      </c>
      <c r="AB5" s="2" t="s">
        <v>44</v>
      </c>
      <c r="AC5" s="2" t="s">
        <v>44</v>
      </c>
      <c r="AD5" s="2" t="s">
        <v>44</v>
      </c>
      <c r="AE5" s="2" t="s">
        <v>44</v>
      </c>
    </row>
    <row r="6" spans="1:31" x14ac:dyDescent="0.3">
      <c r="A6" s="2" t="s">
        <v>12</v>
      </c>
      <c r="B6" s="2" t="s">
        <v>0</v>
      </c>
      <c r="C6" s="2" t="s">
        <v>48</v>
      </c>
      <c r="D6" s="2">
        <v>32</v>
      </c>
      <c r="E6" s="2">
        <v>3</v>
      </c>
      <c r="F6" s="2">
        <v>5</v>
      </c>
      <c r="G6" s="2">
        <v>5</v>
      </c>
      <c r="H6" s="2">
        <v>6.0625</v>
      </c>
      <c r="I6" s="2">
        <v>6.25</v>
      </c>
      <c r="J6" s="2">
        <v>10</v>
      </c>
      <c r="K6" s="2">
        <v>1.25</v>
      </c>
      <c r="L6" s="2">
        <v>11</v>
      </c>
      <c r="M6" s="3">
        <v>7.7012444571359691</v>
      </c>
      <c r="N6" s="3">
        <v>25.611515220890219</v>
      </c>
      <c r="O6" s="3">
        <v>19.75</v>
      </c>
      <c r="P6" s="3">
        <v>50</v>
      </c>
      <c r="Q6" s="2">
        <v>16</v>
      </c>
      <c r="R6" s="2" t="s">
        <v>19</v>
      </c>
      <c r="S6" s="2" t="s">
        <v>0</v>
      </c>
      <c r="T6" s="2">
        <v>80</v>
      </c>
      <c r="U6" s="44">
        <v>5.6858564321250887E-2</v>
      </c>
      <c r="V6" s="44">
        <v>0.95948827292110883</v>
      </c>
      <c r="W6" s="2" t="s">
        <v>44</v>
      </c>
      <c r="X6" s="2" t="s">
        <v>44</v>
      </c>
      <c r="Y6" s="2" t="s">
        <v>44</v>
      </c>
      <c r="Z6" s="2" t="s">
        <v>44</v>
      </c>
      <c r="AA6" s="2" t="s">
        <v>44</v>
      </c>
      <c r="AB6" s="2" t="s">
        <v>44</v>
      </c>
      <c r="AC6" s="2" t="s">
        <v>44</v>
      </c>
      <c r="AD6" s="2" t="s">
        <v>44</v>
      </c>
      <c r="AE6" s="2" t="s">
        <v>44</v>
      </c>
    </row>
    <row r="7" spans="1:31" x14ac:dyDescent="0.3">
      <c r="A7" s="2" t="s">
        <v>19</v>
      </c>
      <c r="B7" s="2" t="s">
        <v>0</v>
      </c>
      <c r="C7" s="2" t="s">
        <v>49</v>
      </c>
      <c r="D7" s="2">
        <v>11</v>
      </c>
      <c r="E7" s="2">
        <v>3</v>
      </c>
      <c r="F7" s="2">
        <v>5</v>
      </c>
      <c r="G7" s="2">
        <v>7</v>
      </c>
      <c r="H7" s="2">
        <v>7.2727272727272716</v>
      </c>
      <c r="I7" s="2">
        <v>9.5</v>
      </c>
      <c r="J7" s="2">
        <v>12</v>
      </c>
      <c r="K7" s="2">
        <v>4.5</v>
      </c>
      <c r="L7" s="2">
        <v>0</v>
      </c>
      <c r="M7" s="3">
        <v>7.4802918234395719</v>
      </c>
      <c r="N7" s="3">
        <v>27.84692447371873</v>
      </c>
      <c r="O7" s="3">
        <v>6.17</v>
      </c>
      <c r="P7" s="3">
        <v>54.545454545454547</v>
      </c>
      <c r="Q7" s="2">
        <v>5</v>
      </c>
      <c r="R7" s="2" t="s">
        <v>20</v>
      </c>
      <c r="S7" s="2" t="s">
        <v>0</v>
      </c>
      <c r="T7" s="2">
        <v>57</v>
      </c>
      <c r="U7" s="44">
        <v>4.0511727078891259E-2</v>
      </c>
      <c r="V7" s="44">
        <v>1</v>
      </c>
      <c r="W7" s="2" t="s">
        <v>44</v>
      </c>
      <c r="X7" s="2" t="s">
        <v>44</v>
      </c>
      <c r="Y7" s="2" t="s">
        <v>44</v>
      </c>
      <c r="Z7" s="2" t="s">
        <v>44</v>
      </c>
      <c r="AA7" s="2" t="s">
        <v>44</v>
      </c>
      <c r="AB7" s="2" t="s">
        <v>44</v>
      </c>
      <c r="AC7" s="2" t="s">
        <v>44</v>
      </c>
      <c r="AD7" s="2" t="s">
        <v>44</v>
      </c>
      <c r="AE7" s="2" t="s">
        <v>44</v>
      </c>
    </row>
    <row r="8" spans="1:31" x14ac:dyDescent="0.3">
      <c r="A8" s="2" t="s">
        <v>20</v>
      </c>
      <c r="B8" s="2" t="s">
        <v>0</v>
      </c>
      <c r="C8" s="2" t="s">
        <v>50</v>
      </c>
      <c r="D8" s="2">
        <v>11</v>
      </c>
      <c r="E8" s="2">
        <v>2</v>
      </c>
      <c r="F8" s="2">
        <v>2.5</v>
      </c>
      <c r="G8" s="2">
        <v>3</v>
      </c>
      <c r="H8" s="2">
        <v>5.1818181818181817</v>
      </c>
      <c r="I8" s="2">
        <v>7.5</v>
      </c>
      <c r="J8" s="2">
        <v>12</v>
      </c>
      <c r="K8" s="2">
        <v>5</v>
      </c>
      <c r="L8" s="2">
        <v>0</v>
      </c>
      <c r="M8" s="3">
        <v>8.2353127163201592</v>
      </c>
      <c r="N8" s="3">
        <v>27.701586651769588</v>
      </c>
      <c r="O8" s="3">
        <v>2.4700000000000002</v>
      </c>
      <c r="P8" s="3">
        <v>81.818181818181813</v>
      </c>
      <c r="Q8" s="2">
        <v>2</v>
      </c>
      <c r="R8" s="2" t="s">
        <v>5</v>
      </c>
      <c r="S8" s="2" t="s">
        <v>0</v>
      </c>
      <c r="T8" s="2">
        <v>437</v>
      </c>
      <c r="U8" s="44">
        <v>0.46341463414634149</v>
      </c>
      <c r="V8" s="44">
        <v>0.46341463414634149</v>
      </c>
      <c r="W8" s="2" t="s">
        <v>44</v>
      </c>
      <c r="X8" s="2" t="s">
        <v>44</v>
      </c>
      <c r="Y8" s="2" t="s">
        <v>44</v>
      </c>
      <c r="Z8" s="2" t="s">
        <v>44</v>
      </c>
      <c r="AA8" s="2" t="s">
        <v>44</v>
      </c>
      <c r="AB8" s="2" t="s">
        <v>44</v>
      </c>
      <c r="AC8" s="2" t="s">
        <v>44</v>
      </c>
      <c r="AD8" s="2" t="s">
        <v>44</v>
      </c>
      <c r="AE8" s="2" t="s">
        <v>44</v>
      </c>
    </row>
    <row r="9" spans="1:31" x14ac:dyDescent="0.3">
      <c r="A9" s="2" t="s">
        <v>1</v>
      </c>
      <c r="B9" s="2" t="s">
        <v>4</v>
      </c>
      <c r="C9" s="2" t="s">
        <v>51</v>
      </c>
      <c r="D9" s="2">
        <v>279</v>
      </c>
      <c r="E9" s="2">
        <v>0</v>
      </c>
      <c r="F9" s="2">
        <v>1</v>
      </c>
      <c r="G9" s="2">
        <v>2</v>
      </c>
      <c r="H9" s="2">
        <v>5.7347670250896057</v>
      </c>
      <c r="I9" s="2">
        <v>4</v>
      </c>
      <c r="J9" s="2">
        <v>143</v>
      </c>
      <c r="K9" s="2">
        <v>3</v>
      </c>
      <c r="L9" s="2">
        <v>34</v>
      </c>
      <c r="M9" s="3">
        <v>7.9059332238899147</v>
      </c>
      <c r="N9" s="3">
        <v>27.405744751112501</v>
      </c>
      <c r="O9" s="3">
        <v>33.979999999999997</v>
      </c>
      <c r="P9" s="3">
        <v>69.892473118279568</v>
      </c>
      <c r="Q9" s="2">
        <v>84</v>
      </c>
      <c r="R9" s="2" t="s">
        <v>11</v>
      </c>
      <c r="S9" s="2" t="s">
        <v>4</v>
      </c>
      <c r="T9" s="2">
        <v>257</v>
      </c>
      <c r="U9" s="44">
        <v>0.27253446447507951</v>
      </c>
      <c r="V9" s="44">
        <v>0.73594909862142099</v>
      </c>
      <c r="W9" s="2" t="s">
        <v>44</v>
      </c>
      <c r="X9" s="2" t="s">
        <v>44</v>
      </c>
      <c r="Y9" s="2" t="s">
        <v>44</v>
      </c>
      <c r="Z9" s="2" t="s">
        <v>44</v>
      </c>
      <c r="AA9" s="2" t="s">
        <v>44</v>
      </c>
      <c r="AB9" s="2" t="s">
        <v>44</v>
      </c>
      <c r="AC9" s="2" t="s">
        <v>44</v>
      </c>
      <c r="AD9" s="2" t="s">
        <v>44</v>
      </c>
      <c r="AE9" s="2" t="s">
        <v>44</v>
      </c>
    </row>
    <row r="10" spans="1:31" x14ac:dyDescent="0.3">
      <c r="A10" s="2" t="s">
        <v>5</v>
      </c>
      <c r="B10" s="2" t="s">
        <v>4</v>
      </c>
      <c r="C10" s="2" t="s">
        <v>52</v>
      </c>
      <c r="D10" s="2">
        <v>10</v>
      </c>
      <c r="E10" s="2">
        <v>0</v>
      </c>
      <c r="F10" s="2">
        <v>0.5</v>
      </c>
      <c r="G10" s="2">
        <v>2</v>
      </c>
      <c r="H10" s="2">
        <v>43.7</v>
      </c>
      <c r="I10" s="2">
        <v>107.75</v>
      </c>
      <c r="J10" s="2">
        <v>143</v>
      </c>
      <c r="K10" s="2">
        <v>107.25</v>
      </c>
      <c r="L10" s="2">
        <v>0</v>
      </c>
      <c r="M10" s="3">
        <v>8.1469020300088282</v>
      </c>
      <c r="N10" s="3">
        <v>7.3511686495730899</v>
      </c>
      <c r="O10" s="3">
        <v>2.4700000000000002</v>
      </c>
      <c r="P10" s="3">
        <v>80</v>
      </c>
      <c r="Q10" s="2">
        <v>2</v>
      </c>
      <c r="R10" s="2" t="s">
        <v>7</v>
      </c>
      <c r="S10" s="2" t="s">
        <v>4</v>
      </c>
      <c r="T10" s="2">
        <v>99</v>
      </c>
      <c r="U10" s="44">
        <v>0.1049840933191941</v>
      </c>
      <c r="V10" s="44">
        <v>0.84093319194061511</v>
      </c>
      <c r="W10" s="2" t="s">
        <v>44</v>
      </c>
      <c r="X10" s="2" t="s">
        <v>44</v>
      </c>
      <c r="Y10" s="2" t="s">
        <v>44</v>
      </c>
      <c r="Z10" s="2" t="s">
        <v>44</v>
      </c>
      <c r="AA10" s="2" t="s">
        <v>44</v>
      </c>
      <c r="AB10" s="2" t="s">
        <v>44</v>
      </c>
      <c r="AC10" s="2" t="s">
        <v>44</v>
      </c>
      <c r="AD10" s="2" t="s">
        <v>44</v>
      </c>
      <c r="AE10" s="2" t="s">
        <v>44</v>
      </c>
    </row>
    <row r="11" spans="1:31" x14ac:dyDescent="0.3">
      <c r="A11" s="2" t="s">
        <v>7</v>
      </c>
      <c r="B11" s="2" t="s">
        <v>4</v>
      </c>
      <c r="C11" s="2" t="s">
        <v>53</v>
      </c>
      <c r="D11" s="2">
        <v>37</v>
      </c>
      <c r="E11" s="2">
        <v>0</v>
      </c>
      <c r="F11" s="2">
        <v>1</v>
      </c>
      <c r="G11" s="2">
        <v>1</v>
      </c>
      <c r="H11" s="2">
        <v>2.6756756756756759</v>
      </c>
      <c r="I11" s="2">
        <v>3</v>
      </c>
      <c r="J11" s="2">
        <v>9</v>
      </c>
      <c r="K11" s="2">
        <v>2</v>
      </c>
      <c r="L11" s="2">
        <v>7</v>
      </c>
      <c r="M11" s="3">
        <v>7.7890356404013286</v>
      </c>
      <c r="N11" s="3">
        <v>24.731144231144231</v>
      </c>
      <c r="O11" s="3">
        <v>4.9400000000000004</v>
      </c>
      <c r="P11" s="3">
        <v>89.189189189189193</v>
      </c>
      <c r="Q11" s="2">
        <v>4</v>
      </c>
      <c r="R11" s="2" t="s">
        <v>12</v>
      </c>
      <c r="S11" s="2" t="s">
        <v>4</v>
      </c>
      <c r="T11" s="2">
        <v>62</v>
      </c>
      <c r="U11" s="44">
        <v>6.5747613997879109E-2</v>
      </c>
      <c r="V11" s="44">
        <v>0.90668080593849421</v>
      </c>
      <c r="W11" s="2" t="s">
        <v>44</v>
      </c>
      <c r="X11" s="2" t="s">
        <v>44</v>
      </c>
      <c r="Y11" s="2" t="s">
        <v>44</v>
      </c>
      <c r="Z11" s="2" t="s">
        <v>44</v>
      </c>
      <c r="AA11" s="2" t="s">
        <v>44</v>
      </c>
      <c r="AB11" s="2" t="s">
        <v>44</v>
      </c>
      <c r="AC11" s="2" t="s">
        <v>44</v>
      </c>
      <c r="AD11" s="2" t="s">
        <v>44</v>
      </c>
      <c r="AE11" s="2" t="s">
        <v>44</v>
      </c>
    </row>
    <row r="12" spans="1:31" x14ac:dyDescent="0.3">
      <c r="A12" s="2" t="s">
        <v>11</v>
      </c>
      <c r="B12" s="2" t="s">
        <v>4</v>
      </c>
      <c r="C12" s="2" t="s">
        <v>54</v>
      </c>
      <c r="D12" s="2">
        <v>103</v>
      </c>
      <c r="E12" s="2">
        <v>0</v>
      </c>
      <c r="F12" s="2">
        <v>1</v>
      </c>
      <c r="G12" s="2">
        <v>2</v>
      </c>
      <c r="H12" s="2">
        <v>2.4951456310679609</v>
      </c>
      <c r="I12" s="2">
        <v>3</v>
      </c>
      <c r="J12" s="2">
        <v>12</v>
      </c>
      <c r="K12" s="2">
        <v>2</v>
      </c>
      <c r="L12" s="2">
        <v>12</v>
      </c>
      <c r="M12" s="3">
        <v>8.1155294588142439</v>
      </c>
      <c r="N12" s="3">
        <v>34.111715850555512</v>
      </c>
      <c r="O12" s="3">
        <v>29.63</v>
      </c>
      <c r="P12" s="3">
        <v>76.699029126213588</v>
      </c>
      <c r="Q12" s="2">
        <v>24</v>
      </c>
      <c r="R12" s="2" t="s">
        <v>20</v>
      </c>
      <c r="S12" s="2" t="s">
        <v>4</v>
      </c>
      <c r="T12" s="2">
        <v>61</v>
      </c>
      <c r="U12" s="44">
        <v>6.4687168610816539E-2</v>
      </c>
      <c r="V12" s="44">
        <v>0.97136797454931079</v>
      </c>
      <c r="W12" s="2" t="s">
        <v>44</v>
      </c>
      <c r="X12" s="2" t="s">
        <v>44</v>
      </c>
      <c r="Y12" s="2" t="s">
        <v>44</v>
      </c>
      <c r="Z12" s="2" t="s">
        <v>44</v>
      </c>
      <c r="AA12" s="2" t="s">
        <v>44</v>
      </c>
      <c r="AB12" s="2" t="s">
        <v>44</v>
      </c>
      <c r="AC12" s="2" t="s">
        <v>44</v>
      </c>
      <c r="AD12" s="2" t="s">
        <v>44</v>
      </c>
      <c r="AE12" s="2" t="s">
        <v>44</v>
      </c>
    </row>
    <row r="13" spans="1:31" x14ac:dyDescent="0.3">
      <c r="A13" s="2" t="s">
        <v>12</v>
      </c>
      <c r="B13" s="2" t="s">
        <v>4</v>
      </c>
      <c r="C13" s="2" t="s">
        <v>55</v>
      </c>
      <c r="D13" s="2">
        <v>32</v>
      </c>
      <c r="E13" s="2">
        <v>0</v>
      </c>
      <c r="F13" s="2">
        <v>0</v>
      </c>
      <c r="G13" s="2">
        <v>2</v>
      </c>
      <c r="H13" s="2">
        <v>1.9375</v>
      </c>
      <c r="I13" s="2">
        <v>3.25</v>
      </c>
      <c r="J13" s="2">
        <v>5</v>
      </c>
      <c r="K13" s="2">
        <v>3.25</v>
      </c>
      <c r="L13" s="2">
        <v>0</v>
      </c>
      <c r="M13" s="3">
        <v>7.7012444571359691</v>
      </c>
      <c r="N13" s="3">
        <v>25.611515220890219</v>
      </c>
      <c r="O13" s="3">
        <v>19.75</v>
      </c>
      <c r="P13" s="3">
        <v>50</v>
      </c>
      <c r="Q13" s="2">
        <v>16</v>
      </c>
      <c r="R13" s="2" t="s">
        <v>19</v>
      </c>
      <c r="S13" s="2" t="s">
        <v>4</v>
      </c>
      <c r="T13" s="2">
        <v>27</v>
      </c>
      <c r="U13" s="44">
        <v>2.863202545068929E-2</v>
      </c>
      <c r="V13" s="44">
        <v>1</v>
      </c>
      <c r="W13" s="2" t="s">
        <v>44</v>
      </c>
      <c r="X13" s="2" t="s">
        <v>44</v>
      </c>
      <c r="Y13" s="2" t="s">
        <v>44</v>
      </c>
      <c r="Z13" s="2" t="s">
        <v>44</v>
      </c>
      <c r="AA13" s="2" t="s">
        <v>44</v>
      </c>
      <c r="AB13" s="2" t="s">
        <v>44</v>
      </c>
      <c r="AC13" s="2" t="s">
        <v>44</v>
      </c>
      <c r="AD13" s="2" t="s">
        <v>44</v>
      </c>
      <c r="AE13" s="2" t="s">
        <v>44</v>
      </c>
    </row>
    <row r="14" spans="1:31" x14ac:dyDescent="0.3">
      <c r="A14" s="2" t="s">
        <v>19</v>
      </c>
      <c r="B14" s="2" t="s">
        <v>4</v>
      </c>
      <c r="C14" s="2" t="s">
        <v>56</v>
      </c>
      <c r="D14" s="2">
        <v>11</v>
      </c>
      <c r="E14" s="2">
        <v>1</v>
      </c>
      <c r="F14" s="2">
        <v>1</v>
      </c>
      <c r="G14" s="2">
        <v>3</v>
      </c>
      <c r="H14" s="2">
        <v>2.454545454545455</v>
      </c>
      <c r="I14" s="2">
        <v>3.5</v>
      </c>
      <c r="J14" s="2">
        <v>4</v>
      </c>
      <c r="K14" s="2">
        <v>2.5</v>
      </c>
      <c r="L14" s="2">
        <v>0</v>
      </c>
      <c r="M14" s="3">
        <v>7.4802918234395719</v>
      </c>
      <c r="N14" s="3">
        <v>27.84692447371873</v>
      </c>
      <c r="O14" s="3">
        <v>6.17</v>
      </c>
      <c r="P14" s="3">
        <v>54.545454545454547</v>
      </c>
      <c r="Q14" s="2">
        <v>5</v>
      </c>
      <c r="R14" s="2" t="s">
        <v>11</v>
      </c>
      <c r="S14" s="2" t="s">
        <v>4</v>
      </c>
      <c r="T14" s="2">
        <v>309</v>
      </c>
      <c r="U14" s="44">
        <v>0.52730375426621157</v>
      </c>
      <c r="V14" s="44">
        <v>0.52730375426621157</v>
      </c>
      <c r="W14" s="2" t="s">
        <v>44</v>
      </c>
      <c r="X14" s="2" t="s">
        <v>44</v>
      </c>
      <c r="Y14" s="2" t="s">
        <v>44</v>
      </c>
      <c r="Z14" s="2" t="s">
        <v>44</v>
      </c>
      <c r="AA14" s="2" t="s">
        <v>44</v>
      </c>
      <c r="AB14" s="2" t="s">
        <v>44</v>
      </c>
      <c r="AC14" s="2" t="s">
        <v>44</v>
      </c>
      <c r="AD14" s="2" t="s">
        <v>44</v>
      </c>
      <c r="AE14" s="2" t="s">
        <v>44</v>
      </c>
    </row>
    <row r="15" spans="1:31" x14ac:dyDescent="0.3">
      <c r="A15" s="2" t="s">
        <v>20</v>
      </c>
      <c r="B15" s="2" t="s">
        <v>4</v>
      </c>
      <c r="C15" s="2" t="s">
        <v>57</v>
      </c>
      <c r="D15" s="2">
        <v>11</v>
      </c>
      <c r="E15" s="2">
        <v>2</v>
      </c>
      <c r="F15" s="2">
        <v>3.5</v>
      </c>
      <c r="G15" s="2">
        <v>5</v>
      </c>
      <c r="H15" s="2">
        <v>5.5454545454545459</v>
      </c>
      <c r="I15" s="2">
        <v>7.5</v>
      </c>
      <c r="J15" s="2">
        <v>10</v>
      </c>
      <c r="K15" s="2">
        <v>4</v>
      </c>
      <c r="L15" s="2">
        <v>0</v>
      </c>
      <c r="M15" s="3">
        <v>8.2353127163201592</v>
      </c>
      <c r="N15" s="3">
        <v>27.701586651769588</v>
      </c>
      <c r="O15" s="3">
        <v>2.4700000000000002</v>
      </c>
      <c r="P15" s="3">
        <v>81.818181818181813</v>
      </c>
      <c r="Q15" s="2">
        <v>2</v>
      </c>
      <c r="R15" s="2" t="s">
        <v>7</v>
      </c>
      <c r="S15" s="2" t="s">
        <v>4</v>
      </c>
      <c r="T15" s="2">
        <v>92</v>
      </c>
      <c r="U15" s="44">
        <v>0.1569965870307167</v>
      </c>
      <c r="V15" s="44">
        <v>0.68430034129692829</v>
      </c>
      <c r="W15" s="2" t="s">
        <v>44</v>
      </c>
      <c r="X15" s="2" t="s">
        <v>44</v>
      </c>
      <c r="Y15" s="2" t="s">
        <v>44</v>
      </c>
      <c r="Z15" s="2" t="s">
        <v>44</v>
      </c>
      <c r="AA15" s="2" t="s">
        <v>44</v>
      </c>
      <c r="AB15" s="2" t="s">
        <v>44</v>
      </c>
      <c r="AC15" s="2" t="s">
        <v>44</v>
      </c>
      <c r="AD15" s="2" t="s">
        <v>44</v>
      </c>
      <c r="AE15" s="2" t="s">
        <v>44</v>
      </c>
    </row>
    <row r="16" spans="1:31" x14ac:dyDescent="0.3">
      <c r="A16" s="2" t="s">
        <v>1</v>
      </c>
      <c r="B16" s="2" t="s">
        <v>3</v>
      </c>
      <c r="C16" s="2" t="s">
        <v>58</v>
      </c>
      <c r="D16" s="2">
        <v>279</v>
      </c>
      <c r="E16" s="2">
        <v>1</v>
      </c>
      <c r="F16" s="2">
        <v>2</v>
      </c>
      <c r="G16" s="2">
        <v>3</v>
      </c>
      <c r="H16" s="2">
        <v>2.9175627240143371</v>
      </c>
      <c r="I16" s="2">
        <v>3</v>
      </c>
      <c r="J16" s="2">
        <v>5</v>
      </c>
      <c r="K16" s="2">
        <v>1</v>
      </c>
      <c r="L16" s="2">
        <v>18</v>
      </c>
      <c r="M16" s="3">
        <v>7.9059332238899147</v>
      </c>
      <c r="N16" s="3">
        <v>27.405744751112501</v>
      </c>
      <c r="O16" s="3">
        <v>17.29</v>
      </c>
      <c r="P16" s="3">
        <v>69.892473118279568</v>
      </c>
      <c r="Q16" s="2">
        <v>84</v>
      </c>
      <c r="R16" s="2" t="s">
        <v>12</v>
      </c>
      <c r="S16" s="2" t="s">
        <v>3</v>
      </c>
      <c r="T16" s="2">
        <v>82</v>
      </c>
      <c r="U16" s="44">
        <v>0.1399317406143345</v>
      </c>
      <c r="V16" s="44">
        <v>0.82423208191126274</v>
      </c>
      <c r="W16" s="2" t="s">
        <v>44</v>
      </c>
      <c r="X16" s="2" t="s">
        <v>44</v>
      </c>
      <c r="Y16" s="2" t="s">
        <v>44</v>
      </c>
      <c r="Z16" s="2" t="s">
        <v>44</v>
      </c>
      <c r="AA16" s="2" t="s">
        <v>44</v>
      </c>
      <c r="AB16" s="2" t="s">
        <v>44</v>
      </c>
      <c r="AC16" s="2" t="s">
        <v>44</v>
      </c>
      <c r="AD16" s="2" t="s">
        <v>44</v>
      </c>
      <c r="AE16" s="2" t="s">
        <v>44</v>
      </c>
    </row>
    <row r="17" spans="1:31" x14ac:dyDescent="0.3">
      <c r="A17" s="2" t="s">
        <v>5</v>
      </c>
      <c r="B17" s="2" t="s">
        <v>3</v>
      </c>
      <c r="C17" s="2" t="s">
        <v>59</v>
      </c>
      <c r="D17" s="2">
        <v>10</v>
      </c>
      <c r="E17" s="2">
        <v>1</v>
      </c>
      <c r="F17" s="2">
        <v>2</v>
      </c>
      <c r="G17" s="2">
        <v>2</v>
      </c>
      <c r="H17" s="2">
        <v>2.2999999999999998</v>
      </c>
      <c r="I17" s="2">
        <v>2</v>
      </c>
      <c r="J17" s="2">
        <v>5</v>
      </c>
      <c r="K17" s="2">
        <v>0</v>
      </c>
      <c r="L17" s="2">
        <v>3</v>
      </c>
      <c r="M17" s="3">
        <v>8.1469020300088282</v>
      </c>
      <c r="N17" s="3">
        <v>7.3511686495730899</v>
      </c>
      <c r="O17" s="3">
        <v>2.4700000000000002</v>
      </c>
      <c r="P17" s="3">
        <v>80</v>
      </c>
      <c r="Q17" s="2">
        <v>2</v>
      </c>
      <c r="R17" s="2" t="s">
        <v>20</v>
      </c>
      <c r="S17" s="2" t="s">
        <v>3</v>
      </c>
      <c r="T17" s="2">
        <v>44</v>
      </c>
      <c r="U17" s="44">
        <v>7.5085324232081918E-2</v>
      </c>
      <c r="V17" s="44">
        <v>0.89931740614334466</v>
      </c>
      <c r="W17" s="2" t="s">
        <v>44</v>
      </c>
      <c r="X17" s="2" t="s">
        <v>44</v>
      </c>
      <c r="Y17" s="2" t="s">
        <v>44</v>
      </c>
      <c r="Z17" s="2" t="s">
        <v>44</v>
      </c>
      <c r="AA17" s="2" t="s">
        <v>44</v>
      </c>
      <c r="AB17" s="2" t="s">
        <v>44</v>
      </c>
      <c r="AC17" s="2" t="s">
        <v>44</v>
      </c>
      <c r="AD17" s="2" t="s">
        <v>44</v>
      </c>
      <c r="AE17" s="2" t="s">
        <v>44</v>
      </c>
    </row>
    <row r="18" spans="1:31" x14ac:dyDescent="0.3">
      <c r="A18" s="2" t="s">
        <v>7</v>
      </c>
      <c r="B18" s="2" t="s">
        <v>3</v>
      </c>
      <c r="C18" s="2" t="s">
        <v>60</v>
      </c>
      <c r="D18" s="2">
        <v>37</v>
      </c>
      <c r="E18" s="2">
        <v>1</v>
      </c>
      <c r="F18" s="2">
        <v>2</v>
      </c>
      <c r="G18" s="2">
        <v>2</v>
      </c>
      <c r="H18" s="2">
        <v>2.486486486486486</v>
      </c>
      <c r="I18" s="2">
        <v>3</v>
      </c>
      <c r="J18" s="2">
        <v>5</v>
      </c>
      <c r="K18" s="2">
        <v>1</v>
      </c>
      <c r="L18" s="2">
        <v>1</v>
      </c>
      <c r="M18" s="3">
        <v>7.7890356404013286</v>
      </c>
      <c r="N18" s="3">
        <v>24.731144231144231</v>
      </c>
      <c r="O18" s="3">
        <v>4.9400000000000004</v>
      </c>
      <c r="P18" s="3">
        <v>89.189189189189193</v>
      </c>
      <c r="Q18" s="2">
        <v>4</v>
      </c>
      <c r="R18" s="2" t="s">
        <v>19</v>
      </c>
      <c r="S18" s="2" t="s">
        <v>3</v>
      </c>
      <c r="T18" s="2">
        <v>36</v>
      </c>
      <c r="U18" s="44">
        <v>6.1433447098976107E-2</v>
      </c>
      <c r="V18" s="44">
        <v>0.96075085324232079</v>
      </c>
      <c r="W18" s="2">
        <v>3</v>
      </c>
      <c r="X18" s="2">
        <f>'شبیه سازی مسیر بندر به اصفهان'!G4</f>
        <v>3.1728089545642271</v>
      </c>
      <c r="Y18" s="2">
        <f>'شبیه سازی مسیر بندر به اصفهان'!G5</f>
        <v>0.61840019285467251</v>
      </c>
      <c r="Z18" s="2">
        <f>'شبیه سازی مسیر بندر به اصفهان'!G6</f>
        <v>0.46</v>
      </c>
      <c r="AA18" s="2">
        <f>'شبیه سازی مسیر بندر به اصفهان'!G7</f>
        <v>0.19490621771130481</v>
      </c>
      <c r="AB18" s="2">
        <f>'شبیه سازی مسیر بندر به اصفهان'!G11</f>
        <v>0.52731026607431686</v>
      </c>
      <c r="AC18" s="2">
        <f>PERCENTILE('شبیه سازی مسیر بندر به اصفهان'!$M$4:$M$1003,0.5)</f>
        <v>3.0543688119070778</v>
      </c>
      <c r="AD18" s="2">
        <f>PERCENTILE('شبیه سازی مسیر بندر به اصفهان'!$M$4:$M$1003,0.9)</f>
        <v>4.0316876234638466</v>
      </c>
      <c r="AE18" s="2">
        <f>PERCENTILE('شبیه سازی مسیر بندر به اصفهان'!$M$4:$M$1003,0.95)</f>
        <v>4.5819307982229507</v>
      </c>
    </row>
    <row r="19" spans="1:31" x14ac:dyDescent="0.3">
      <c r="A19" s="2" t="s">
        <v>11</v>
      </c>
      <c r="B19" s="2" t="s">
        <v>3</v>
      </c>
      <c r="C19" s="2" t="s">
        <v>61</v>
      </c>
      <c r="D19" s="2">
        <v>103</v>
      </c>
      <c r="E19" s="2">
        <v>1</v>
      </c>
      <c r="F19" s="2">
        <v>2</v>
      </c>
      <c r="G19" s="2">
        <v>3</v>
      </c>
      <c r="H19" s="2">
        <v>3</v>
      </c>
      <c r="I19" s="2">
        <v>3</v>
      </c>
      <c r="J19" s="2">
        <v>5</v>
      </c>
      <c r="K19" s="2">
        <v>1</v>
      </c>
      <c r="L19" s="2">
        <v>8</v>
      </c>
      <c r="M19" s="3">
        <v>8.1155294588142439</v>
      </c>
      <c r="N19" s="3">
        <v>34.111715850555512</v>
      </c>
      <c r="O19" s="3">
        <v>29.63</v>
      </c>
      <c r="P19" s="3">
        <v>76.699029126213588</v>
      </c>
      <c r="Q19" s="2">
        <v>24</v>
      </c>
      <c r="R19" s="2" t="s">
        <v>5</v>
      </c>
      <c r="S19" s="2" t="s">
        <v>3</v>
      </c>
      <c r="T19" s="2">
        <v>23</v>
      </c>
      <c r="U19" s="44">
        <v>3.9249146757679182E-2</v>
      </c>
      <c r="V19" s="44">
        <v>1</v>
      </c>
      <c r="W19" s="2">
        <v>3</v>
      </c>
      <c r="X19" s="2">
        <f>'شبیه سازی مسیر بندر به تهران'!G4</f>
        <v>3.5301156697684002</v>
      </c>
      <c r="Y19" s="2">
        <f>'شبیه سازی مسیر بندر به تهران'!G5</f>
        <v>0.85842617183054526</v>
      </c>
      <c r="Z19" s="2">
        <f>'شبیه سازی مسیر بندر به تهران'!G6</f>
        <v>0.33200000000000002</v>
      </c>
      <c r="AA19" s="2">
        <f>'شبیه سازی مسیر بندر به تهران'!G7</f>
        <v>0.24317225046817351</v>
      </c>
      <c r="AB19" s="2">
        <f>'شبیه سازی مسیر بندر به تهران'!G11</f>
        <v>0.71872565533107124</v>
      </c>
      <c r="AC19" s="2">
        <f>PERCENTILE('شبیه سازی مسیر بندر به تهران'!$M$4:$M$1003,0.5)</f>
        <v>3.3722418137391319</v>
      </c>
      <c r="AD19" s="2">
        <f>PERCENTILE('شبیه سازی مسیر بندر به تهران'!$M$4:$M$1003,0.9)</f>
        <v>4.7945444210390846</v>
      </c>
      <c r="AE19" s="2">
        <f>PERCENTILE('شبیه سازی مسیر بندر به تهران'!$M$4:$M$1003,0.95)</f>
        <v>5.1561769659932137</v>
      </c>
    </row>
    <row r="20" spans="1:31" x14ac:dyDescent="0.3">
      <c r="A20" s="2" t="s">
        <v>12</v>
      </c>
      <c r="B20" s="2" t="s">
        <v>3</v>
      </c>
      <c r="C20" s="2" t="s">
        <v>62</v>
      </c>
      <c r="D20" s="2">
        <v>32</v>
      </c>
      <c r="E20" s="2">
        <v>2</v>
      </c>
      <c r="F20" s="2">
        <v>2</v>
      </c>
      <c r="G20" s="2">
        <v>2.5</v>
      </c>
      <c r="H20" s="2">
        <v>2.5625</v>
      </c>
      <c r="I20" s="2">
        <v>3</v>
      </c>
      <c r="J20" s="2">
        <v>4</v>
      </c>
      <c r="K20" s="2">
        <v>1</v>
      </c>
      <c r="L20" s="2">
        <v>0</v>
      </c>
      <c r="M20" s="3">
        <v>7.7012444571359691</v>
      </c>
      <c r="N20" s="3">
        <v>25.611515220890219</v>
      </c>
      <c r="O20" s="3">
        <v>19.75</v>
      </c>
      <c r="P20" s="3">
        <v>50</v>
      </c>
      <c r="Q20" s="2">
        <v>16</v>
      </c>
      <c r="R20" s="2" t="s">
        <v>11</v>
      </c>
      <c r="S20" s="2" t="s">
        <v>3</v>
      </c>
      <c r="T20" s="2">
        <v>1034</v>
      </c>
      <c r="U20" s="44">
        <v>0.35217983651226159</v>
      </c>
      <c r="V20" s="44">
        <v>0.35217983651226159</v>
      </c>
      <c r="W20" s="2">
        <v>2</v>
      </c>
      <c r="X20" s="2">
        <f>'شبیه سازی مسیر بندر به زرندیه'!G4</f>
        <v>2.735448256996607</v>
      </c>
      <c r="Y20" s="2">
        <f>'شبیه سازی مسیر بندر به زرندیه'!G5</f>
        <v>0.85039402627104566</v>
      </c>
      <c r="Z20" s="2">
        <f>'شبیه سازی مسیر بندر به زرندیه'!G6</f>
        <v>0.25900000000000001</v>
      </c>
      <c r="AA20" s="2">
        <f>'شبیه سازی مسیر بندر به زرندیه'!G7</f>
        <v>0.31087922211503949</v>
      </c>
      <c r="AB20" s="2">
        <f>'شبیه سازی مسیر بندر به زرندیه'!G11</f>
        <v>1.041346541246934</v>
      </c>
      <c r="AC20" s="2">
        <f>PERCENTILE('شبیه سازی مسیر بندر به زرندیه'!$M$4:$M$1003,0.5)</f>
        <v>2.6455872923425825</v>
      </c>
      <c r="AD20" s="2">
        <f>PERCENTILE('شبیه سازی مسیر بندر به زرندیه'!$M$4:$M$1003,0.9)</f>
        <v>3.8715565876516953</v>
      </c>
      <c r="AE20" s="2">
        <f>PERCENTILE('شبیه سازی مسیر بندر به زرندیه'!$M$4:$M$1003,0.95)</f>
        <v>4.0826930824938685</v>
      </c>
    </row>
    <row r="21" spans="1:31" x14ac:dyDescent="0.3">
      <c r="A21" s="2" t="s">
        <v>19</v>
      </c>
      <c r="B21" s="2" t="s">
        <v>3</v>
      </c>
      <c r="C21" s="2" t="s">
        <v>63</v>
      </c>
      <c r="D21" s="2">
        <v>11</v>
      </c>
      <c r="E21" s="2">
        <v>2</v>
      </c>
      <c r="F21" s="2">
        <v>2.5</v>
      </c>
      <c r="G21" s="2">
        <v>3</v>
      </c>
      <c r="H21" s="2">
        <v>3.2727272727272729</v>
      </c>
      <c r="I21" s="2">
        <v>4</v>
      </c>
      <c r="J21" s="2">
        <v>5</v>
      </c>
      <c r="K21" s="2">
        <v>1.5</v>
      </c>
      <c r="L21" s="2">
        <v>0</v>
      </c>
      <c r="M21" s="3">
        <v>7.4802918234395719</v>
      </c>
      <c r="N21" s="3">
        <v>27.84692447371873</v>
      </c>
      <c r="O21" s="3">
        <v>6.17</v>
      </c>
      <c r="P21" s="3">
        <v>54.545454545454547</v>
      </c>
      <c r="Q21" s="2">
        <v>5</v>
      </c>
      <c r="R21" s="2" t="s">
        <v>5</v>
      </c>
      <c r="S21" s="2" t="s">
        <v>3</v>
      </c>
      <c r="T21" s="2">
        <v>825</v>
      </c>
      <c r="U21" s="44">
        <v>0.28099455040871929</v>
      </c>
      <c r="V21" s="44">
        <v>0.63317438692098094</v>
      </c>
      <c r="W21" s="2" t="s">
        <v>44</v>
      </c>
      <c r="X21" s="2" t="s">
        <v>44</v>
      </c>
      <c r="Y21" s="2" t="s">
        <v>44</v>
      </c>
      <c r="Z21" s="2" t="s">
        <v>44</v>
      </c>
      <c r="AA21" s="2" t="s">
        <v>44</v>
      </c>
      <c r="AB21" s="2" t="s">
        <v>44</v>
      </c>
      <c r="AC21" s="2" t="s">
        <v>44</v>
      </c>
      <c r="AD21" s="2" t="s">
        <v>44</v>
      </c>
      <c r="AE21" s="2" t="s">
        <v>44</v>
      </c>
    </row>
    <row r="22" spans="1:31" x14ac:dyDescent="0.3">
      <c r="A22" s="2" t="s">
        <v>20</v>
      </c>
      <c r="B22" s="2" t="s">
        <v>3</v>
      </c>
      <c r="C22" s="2" t="s">
        <v>64</v>
      </c>
      <c r="D22" s="2">
        <v>11</v>
      </c>
      <c r="E22" s="2">
        <v>3</v>
      </c>
      <c r="F22" s="2">
        <v>4</v>
      </c>
      <c r="G22" s="2">
        <v>4</v>
      </c>
      <c r="H22" s="2">
        <v>4</v>
      </c>
      <c r="I22" s="2">
        <v>4</v>
      </c>
      <c r="J22" s="2">
        <v>5</v>
      </c>
      <c r="K22" s="2">
        <v>0</v>
      </c>
      <c r="L22" s="2">
        <v>4</v>
      </c>
      <c r="M22" s="3">
        <v>8.2353127163201592</v>
      </c>
      <c r="N22" s="3">
        <v>27.701586651769588</v>
      </c>
      <c r="O22" s="3">
        <v>2.4700000000000002</v>
      </c>
      <c r="P22" s="3">
        <v>81.818181818181813</v>
      </c>
      <c r="Q22" s="2">
        <v>2</v>
      </c>
      <c r="R22" s="2" t="s">
        <v>7</v>
      </c>
      <c r="S22" s="2" t="s">
        <v>3</v>
      </c>
      <c r="T22" s="2">
        <v>434</v>
      </c>
      <c r="U22" s="44">
        <v>0.14782016348773841</v>
      </c>
      <c r="V22" s="44">
        <v>0.78099455040871935</v>
      </c>
      <c r="W22" s="2" t="s">
        <v>44</v>
      </c>
      <c r="X22" s="2" t="s">
        <v>44</v>
      </c>
      <c r="Y22" s="2" t="s">
        <v>44</v>
      </c>
      <c r="Z22" s="2" t="s">
        <v>44</v>
      </c>
      <c r="AA22" s="2" t="s">
        <v>44</v>
      </c>
      <c r="AB22" s="2" t="s">
        <v>44</v>
      </c>
      <c r="AC22" s="2" t="s">
        <v>44</v>
      </c>
      <c r="AD22" s="2" t="s">
        <v>44</v>
      </c>
      <c r="AE22" s="2" t="s">
        <v>44</v>
      </c>
    </row>
    <row r="23" spans="1:31" x14ac:dyDescent="0.3">
      <c r="A23" s="2" t="s">
        <v>1</v>
      </c>
      <c r="B23" s="2" t="s">
        <v>10</v>
      </c>
      <c r="C23" s="2" t="s">
        <v>65</v>
      </c>
      <c r="D23" s="2">
        <v>279</v>
      </c>
      <c r="E23" s="2">
        <v>3</v>
      </c>
      <c r="F23" s="2">
        <v>8</v>
      </c>
      <c r="G23" s="2">
        <v>11</v>
      </c>
      <c r="H23" s="2">
        <v>16.878136200716849</v>
      </c>
      <c r="I23" s="2">
        <v>16</v>
      </c>
      <c r="J23" s="2">
        <v>183</v>
      </c>
      <c r="K23" s="2">
        <v>8</v>
      </c>
      <c r="L23" s="2">
        <v>29</v>
      </c>
      <c r="M23" s="3">
        <v>7.9059332238899147</v>
      </c>
      <c r="N23" s="3">
        <v>27.405744751112501</v>
      </c>
      <c r="O23" s="3">
        <v>100</v>
      </c>
      <c r="P23" s="3">
        <v>69.892473118279568</v>
      </c>
      <c r="Q23" s="2">
        <v>84</v>
      </c>
      <c r="R23" s="2" t="s">
        <v>12</v>
      </c>
      <c r="S23" s="2" t="s">
        <v>10</v>
      </c>
      <c r="T23" s="2">
        <v>338</v>
      </c>
      <c r="U23" s="44">
        <v>0.11512261580381471</v>
      </c>
      <c r="V23" s="44">
        <v>0.89611716621253401</v>
      </c>
      <c r="W23" s="2" t="s">
        <v>44</v>
      </c>
      <c r="X23" s="2" t="s">
        <v>44</v>
      </c>
      <c r="Y23" s="2" t="s">
        <v>44</v>
      </c>
      <c r="Z23" s="2" t="s">
        <v>44</v>
      </c>
      <c r="AA23" s="2" t="s">
        <v>44</v>
      </c>
      <c r="AB23" s="2" t="s">
        <v>44</v>
      </c>
      <c r="AC23" s="2" t="s">
        <v>44</v>
      </c>
      <c r="AD23" s="2" t="s">
        <v>44</v>
      </c>
      <c r="AE23" s="2" t="s">
        <v>44</v>
      </c>
    </row>
    <row r="24" spans="1:31" x14ac:dyDescent="0.3">
      <c r="A24" s="2" t="s">
        <v>5</v>
      </c>
      <c r="B24" s="2" t="s">
        <v>10</v>
      </c>
      <c r="C24" s="2" t="s">
        <v>66</v>
      </c>
      <c r="D24" s="2">
        <v>10</v>
      </c>
      <c r="E24" s="2">
        <v>18</v>
      </c>
      <c r="F24" s="2">
        <v>19.5</v>
      </c>
      <c r="G24" s="2">
        <v>67</v>
      </c>
      <c r="H24" s="2">
        <v>82.5</v>
      </c>
      <c r="I24" s="2">
        <v>153.25</v>
      </c>
      <c r="J24" s="2">
        <v>183</v>
      </c>
      <c r="K24" s="2">
        <v>133.75</v>
      </c>
      <c r="L24" s="2">
        <v>0</v>
      </c>
      <c r="M24" s="3">
        <v>8.1469020300088282</v>
      </c>
      <c r="N24" s="3">
        <v>7.3511686495730899</v>
      </c>
      <c r="O24" s="3">
        <v>2.4700000000000002</v>
      </c>
      <c r="P24" s="3">
        <v>80</v>
      </c>
      <c r="Q24" s="2">
        <v>2</v>
      </c>
      <c r="R24" s="2" t="s">
        <v>20</v>
      </c>
      <c r="S24" s="2" t="s">
        <v>10</v>
      </c>
      <c r="T24" s="2">
        <v>162</v>
      </c>
      <c r="U24" s="44">
        <v>5.5177111716621263E-2</v>
      </c>
      <c r="V24" s="44">
        <v>0.95129427792915522</v>
      </c>
      <c r="W24" s="2" t="s">
        <v>44</v>
      </c>
      <c r="X24" s="2" t="s">
        <v>44</v>
      </c>
      <c r="Y24" s="2" t="s">
        <v>44</v>
      </c>
      <c r="Z24" s="2" t="s">
        <v>44</v>
      </c>
      <c r="AA24" s="2" t="s">
        <v>44</v>
      </c>
      <c r="AB24" s="2" t="s">
        <v>44</v>
      </c>
      <c r="AC24" s="2" t="s">
        <v>44</v>
      </c>
      <c r="AD24" s="2" t="s">
        <v>44</v>
      </c>
      <c r="AE24" s="2" t="s">
        <v>44</v>
      </c>
    </row>
    <row r="25" spans="1:31" x14ac:dyDescent="0.3">
      <c r="A25" s="2" t="s">
        <v>7</v>
      </c>
      <c r="B25" s="2" t="s">
        <v>10</v>
      </c>
      <c r="C25" s="2" t="s">
        <v>67</v>
      </c>
      <c r="D25" s="2">
        <v>37</v>
      </c>
      <c r="E25" s="2">
        <v>6</v>
      </c>
      <c r="F25" s="2">
        <v>8</v>
      </c>
      <c r="G25" s="2">
        <v>10</v>
      </c>
      <c r="H25" s="2">
        <v>11.72972972972973</v>
      </c>
      <c r="I25" s="2">
        <v>12</v>
      </c>
      <c r="J25" s="2">
        <v>26</v>
      </c>
      <c r="K25" s="2">
        <v>4</v>
      </c>
      <c r="L25" s="2">
        <v>7</v>
      </c>
      <c r="M25" s="3">
        <v>7.7890356404013286</v>
      </c>
      <c r="N25" s="3">
        <v>24.731144231144231</v>
      </c>
      <c r="O25" s="3">
        <v>4.9400000000000004</v>
      </c>
      <c r="P25" s="3">
        <v>89.189189189189193</v>
      </c>
      <c r="Q25" s="2">
        <v>4</v>
      </c>
      <c r="R25" s="2" t="s">
        <v>19</v>
      </c>
      <c r="S25" s="2" t="s">
        <v>10</v>
      </c>
      <c r="T25" s="2">
        <v>143</v>
      </c>
      <c r="U25" s="44">
        <v>4.8705722070844677E-2</v>
      </c>
      <c r="V25" s="44">
        <v>0.99999999999999989</v>
      </c>
      <c r="W25" s="2" t="s">
        <v>44</v>
      </c>
      <c r="X25" s="2" t="s">
        <v>44</v>
      </c>
      <c r="Y25" s="2" t="s">
        <v>44</v>
      </c>
      <c r="Z25" s="2" t="s">
        <v>44</v>
      </c>
      <c r="AA25" s="2" t="s">
        <v>44</v>
      </c>
      <c r="AB25" s="2" t="s">
        <v>44</v>
      </c>
      <c r="AC25" s="2" t="s">
        <v>44</v>
      </c>
      <c r="AD25" s="2" t="s">
        <v>44</v>
      </c>
      <c r="AE25" s="2" t="s">
        <v>44</v>
      </c>
    </row>
    <row r="26" spans="1:31" x14ac:dyDescent="0.3">
      <c r="A26" s="2" t="s">
        <v>11</v>
      </c>
      <c r="B26" s="2" t="s">
        <v>10</v>
      </c>
      <c r="C26" s="2" t="s">
        <v>68</v>
      </c>
      <c r="D26" s="2">
        <v>103</v>
      </c>
      <c r="E26" s="2">
        <v>3</v>
      </c>
      <c r="F26" s="2">
        <v>7</v>
      </c>
      <c r="G26" s="2">
        <v>9</v>
      </c>
      <c r="H26" s="2">
        <v>10.038834951456311</v>
      </c>
      <c r="I26" s="2">
        <v>12.5</v>
      </c>
      <c r="J26" s="2">
        <v>23</v>
      </c>
      <c r="K26" s="2">
        <v>5.5</v>
      </c>
      <c r="L26" s="2">
        <v>2</v>
      </c>
      <c r="M26" s="3">
        <v>8.1155294588142439</v>
      </c>
      <c r="N26" s="3">
        <v>34.111715850555512</v>
      </c>
      <c r="O26" s="3">
        <v>29.63</v>
      </c>
      <c r="P26" s="3">
        <v>76.699029126213588</v>
      </c>
      <c r="Q26" s="2">
        <v>24</v>
      </c>
      <c r="R26" s="2"/>
      <c r="S26" s="2" t="s">
        <v>10</v>
      </c>
      <c r="T26" s="2"/>
      <c r="U26" s="2"/>
      <c r="V26" s="2"/>
      <c r="W26" s="2" t="s">
        <v>44</v>
      </c>
      <c r="X26" s="2" t="s">
        <v>44</v>
      </c>
      <c r="Y26" s="2" t="s">
        <v>44</v>
      </c>
      <c r="Z26" s="2" t="s">
        <v>44</v>
      </c>
      <c r="AA26" s="2" t="s">
        <v>44</v>
      </c>
      <c r="AB26" s="2" t="s">
        <v>44</v>
      </c>
      <c r="AC26" s="2" t="s">
        <v>44</v>
      </c>
      <c r="AD26" s="2" t="s">
        <v>44</v>
      </c>
      <c r="AE26" s="2" t="s">
        <v>44</v>
      </c>
    </row>
    <row r="27" spans="1:31" x14ac:dyDescent="0.3">
      <c r="A27" s="2" t="s">
        <v>12</v>
      </c>
      <c r="B27" s="2" t="s">
        <v>10</v>
      </c>
      <c r="C27" s="2" t="s">
        <v>69</v>
      </c>
      <c r="D27" s="2">
        <v>32</v>
      </c>
      <c r="E27" s="2">
        <v>5</v>
      </c>
      <c r="F27" s="2">
        <v>9</v>
      </c>
      <c r="G27" s="2">
        <v>11</v>
      </c>
      <c r="H27" s="2">
        <v>10.5625</v>
      </c>
      <c r="I27" s="2">
        <v>12</v>
      </c>
      <c r="J27" s="2">
        <v>14</v>
      </c>
      <c r="K27" s="2">
        <v>3</v>
      </c>
      <c r="L27" s="2">
        <v>0</v>
      </c>
      <c r="M27" s="3">
        <v>7.7012444571359691</v>
      </c>
      <c r="N27" s="3">
        <v>25.611515220890219</v>
      </c>
      <c r="O27" s="3">
        <v>19.75</v>
      </c>
      <c r="P27" s="3">
        <v>50</v>
      </c>
      <c r="Q27" s="2">
        <v>16</v>
      </c>
      <c r="R27" s="2"/>
      <c r="S27" s="2" t="s">
        <v>10</v>
      </c>
      <c r="T27" s="2"/>
      <c r="U27" s="2"/>
      <c r="V27" s="2"/>
      <c r="W27" s="2" t="s">
        <v>44</v>
      </c>
      <c r="X27" s="2" t="s">
        <v>44</v>
      </c>
      <c r="Y27" s="2" t="s">
        <v>44</v>
      </c>
      <c r="Z27" s="2" t="s">
        <v>44</v>
      </c>
      <c r="AA27" s="2" t="s">
        <v>44</v>
      </c>
      <c r="AB27" s="2" t="s">
        <v>44</v>
      </c>
      <c r="AC27" s="2" t="s">
        <v>44</v>
      </c>
      <c r="AD27" s="2" t="s">
        <v>44</v>
      </c>
      <c r="AE27" s="2" t="s">
        <v>44</v>
      </c>
    </row>
    <row r="28" spans="1:31" x14ac:dyDescent="0.3">
      <c r="A28" s="2" t="s">
        <v>19</v>
      </c>
      <c r="B28" s="2" t="s">
        <v>10</v>
      </c>
      <c r="C28" s="2" t="s">
        <v>70</v>
      </c>
      <c r="D28" s="2">
        <v>11</v>
      </c>
      <c r="E28" s="2">
        <v>6</v>
      </c>
      <c r="F28" s="2">
        <v>9.5</v>
      </c>
      <c r="G28" s="2">
        <v>14</v>
      </c>
      <c r="H28" s="2">
        <v>13</v>
      </c>
      <c r="I28" s="2">
        <v>16.5</v>
      </c>
      <c r="J28" s="2">
        <v>20</v>
      </c>
      <c r="K28" s="2">
        <v>7</v>
      </c>
      <c r="L28" s="2">
        <v>0</v>
      </c>
      <c r="M28" s="3">
        <v>7.4802918234395719</v>
      </c>
      <c r="N28" s="3">
        <v>27.84692447371873</v>
      </c>
      <c r="O28" s="3">
        <v>6.17</v>
      </c>
      <c r="P28" s="3">
        <v>54.545454545454547</v>
      </c>
      <c r="Q28" s="2">
        <v>5</v>
      </c>
      <c r="R28" s="2"/>
      <c r="S28" s="2" t="s">
        <v>10</v>
      </c>
      <c r="T28" s="2"/>
      <c r="U28" s="2"/>
      <c r="V28" s="2"/>
      <c r="W28" s="2" t="s">
        <v>44</v>
      </c>
      <c r="X28" s="2" t="s">
        <v>44</v>
      </c>
      <c r="Y28" s="2" t="s">
        <v>44</v>
      </c>
      <c r="Z28" s="2" t="s">
        <v>44</v>
      </c>
      <c r="AA28" s="2" t="s">
        <v>44</v>
      </c>
      <c r="AB28" s="2" t="s">
        <v>44</v>
      </c>
      <c r="AC28" s="2" t="s">
        <v>44</v>
      </c>
      <c r="AD28" s="2" t="s">
        <v>44</v>
      </c>
      <c r="AE28" s="2" t="s">
        <v>44</v>
      </c>
    </row>
    <row r="29" spans="1:31" x14ac:dyDescent="0.3">
      <c r="A29" s="2" t="s">
        <v>20</v>
      </c>
      <c r="B29" s="2" t="s">
        <v>10</v>
      </c>
      <c r="C29" s="2" t="s">
        <v>71</v>
      </c>
      <c r="D29" s="2">
        <v>11</v>
      </c>
      <c r="E29" s="2">
        <v>11</v>
      </c>
      <c r="F29" s="2">
        <v>12</v>
      </c>
      <c r="G29" s="2">
        <v>16</v>
      </c>
      <c r="H29" s="2">
        <v>14.72727272727273</v>
      </c>
      <c r="I29" s="2">
        <v>17.5</v>
      </c>
      <c r="J29" s="2">
        <v>19</v>
      </c>
      <c r="K29" s="2">
        <v>5.5</v>
      </c>
      <c r="L29" s="2">
        <v>0</v>
      </c>
      <c r="M29" s="3">
        <v>8.2353127163201592</v>
      </c>
      <c r="N29" s="3">
        <v>27.701586651769588</v>
      </c>
      <c r="O29" s="3">
        <v>2.4700000000000002</v>
      </c>
      <c r="P29" s="3">
        <v>81.818181818181813</v>
      </c>
      <c r="Q29" s="2">
        <v>2</v>
      </c>
      <c r="R29" s="2"/>
      <c r="S29" s="2" t="s">
        <v>10</v>
      </c>
      <c r="T29" s="2"/>
      <c r="U29" s="2"/>
      <c r="V29" s="2"/>
      <c r="W29" s="2" t="s">
        <v>44</v>
      </c>
      <c r="X29" s="2" t="s">
        <v>44</v>
      </c>
      <c r="Y29" s="2" t="s">
        <v>44</v>
      </c>
      <c r="Z29" s="2" t="s">
        <v>44</v>
      </c>
      <c r="AA29" s="2" t="s">
        <v>44</v>
      </c>
      <c r="AB29" s="2" t="s">
        <v>44</v>
      </c>
      <c r="AC29" s="2" t="s">
        <v>44</v>
      </c>
      <c r="AD29" s="2" t="s">
        <v>44</v>
      </c>
      <c r="AE29" s="2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82"/>
  <sheetViews>
    <sheetView rightToLeft="1" workbookViewId="0">
      <pane ySplit="1" topLeftCell="A2" activePane="bottomLeft" state="frozen"/>
      <selection pane="bottomLeft" activeCell="L6" sqref="L6"/>
    </sheetView>
  </sheetViews>
  <sheetFormatPr defaultRowHeight="14.4" x14ac:dyDescent="0.3"/>
  <cols>
    <col min="1" max="2" width="12" customWidth="1"/>
    <col min="3" max="4" width="14" customWidth="1"/>
    <col min="5" max="5" width="18" customWidth="1"/>
    <col min="6" max="20" width="10" customWidth="1"/>
    <col min="21" max="21" width="11.88671875" customWidth="1"/>
    <col min="22" max="22" width="10" customWidth="1"/>
    <col min="23" max="23" width="20" customWidth="1"/>
  </cols>
  <sheetData>
    <row r="1" spans="1:22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</row>
    <row r="2" spans="1:22" x14ac:dyDescent="0.3">
      <c r="A2">
        <v>1</v>
      </c>
      <c r="B2" t="s">
        <v>94</v>
      </c>
      <c r="C2" t="s">
        <v>95</v>
      </c>
      <c r="D2">
        <v>37140476</v>
      </c>
      <c r="E2" t="s">
        <v>96</v>
      </c>
      <c r="F2">
        <v>7</v>
      </c>
      <c r="G2">
        <v>0</v>
      </c>
      <c r="H2">
        <v>3</v>
      </c>
      <c r="I2">
        <v>3</v>
      </c>
      <c r="J2">
        <v>2</v>
      </c>
      <c r="K2">
        <v>4</v>
      </c>
      <c r="L2">
        <v>0</v>
      </c>
      <c r="M2">
        <v>1</v>
      </c>
      <c r="N2">
        <v>10</v>
      </c>
      <c r="O2">
        <v>24.75</v>
      </c>
      <c r="P2">
        <v>23.138999999999999</v>
      </c>
      <c r="Q2">
        <v>1.6110000000000011</v>
      </c>
      <c r="R2">
        <v>60</v>
      </c>
      <c r="S2">
        <v>412</v>
      </c>
      <c r="T2">
        <v>26</v>
      </c>
      <c r="U2">
        <v>6.5090909090909106</v>
      </c>
      <c r="V2">
        <v>30</v>
      </c>
    </row>
    <row r="3" spans="1:22" x14ac:dyDescent="0.3">
      <c r="A3">
        <v>2</v>
      </c>
      <c r="B3" t="s">
        <v>94</v>
      </c>
      <c r="C3" t="s">
        <v>95</v>
      </c>
      <c r="D3">
        <v>37140476</v>
      </c>
      <c r="E3" t="s">
        <v>96</v>
      </c>
      <c r="F3">
        <v>7</v>
      </c>
      <c r="G3">
        <v>0</v>
      </c>
      <c r="H3">
        <v>3</v>
      </c>
      <c r="I3">
        <v>3</v>
      </c>
      <c r="J3">
        <v>2</v>
      </c>
      <c r="K3">
        <v>4</v>
      </c>
      <c r="L3">
        <v>0</v>
      </c>
      <c r="M3">
        <v>1</v>
      </c>
      <c r="N3">
        <v>10</v>
      </c>
      <c r="O3">
        <v>24.75</v>
      </c>
      <c r="P3">
        <v>22.622</v>
      </c>
      <c r="Q3">
        <v>2.1280000000000001</v>
      </c>
      <c r="R3">
        <v>60</v>
      </c>
      <c r="S3">
        <v>412</v>
      </c>
      <c r="T3">
        <v>35</v>
      </c>
      <c r="U3">
        <v>8.5979797979797983</v>
      </c>
      <c r="V3">
        <v>30</v>
      </c>
    </row>
    <row r="4" spans="1:22" x14ac:dyDescent="0.3">
      <c r="A4">
        <v>3</v>
      </c>
      <c r="B4" t="s">
        <v>94</v>
      </c>
      <c r="C4" t="s">
        <v>95</v>
      </c>
      <c r="D4">
        <v>37140476</v>
      </c>
      <c r="E4" t="s">
        <v>96</v>
      </c>
      <c r="F4">
        <v>7</v>
      </c>
      <c r="G4">
        <v>0</v>
      </c>
      <c r="H4">
        <v>2</v>
      </c>
      <c r="I4">
        <v>3</v>
      </c>
      <c r="J4">
        <v>2</v>
      </c>
      <c r="K4">
        <v>4</v>
      </c>
      <c r="L4">
        <v>-1</v>
      </c>
      <c r="M4">
        <v>1</v>
      </c>
      <c r="N4">
        <v>9</v>
      </c>
      <c r="O4">
        <v>24.75</v>
      </c>
      <c r="P4">
        <v>22.81</v>
      </c>
      <c r="Q4">
        <v>1.9400000000000011</v>
      </c>
      <c r="R4">
        <v>60</v>
      </c>
      <c r="S4">
        <v>412</v>
      </c>
      <c r="T4">
        <v>32</v>
      </c>
      <c r="U4">
        <v>7.8383838383838427</v>
      </c>
      <c r="V4">
        <v>22.222222222222221</v>
      </c>
    </row>
    <row r="5" spans="1:22" x14ac:dyDescent="0.3">
      <c r="A5">
        <v>4</v>
      </c>
      <c r="B5" t="s">
        <v>94</v>
      </c>
      <c r="C5" t="s">
        <v>97</v>
      </c>
      <c r="D5">
        <v>37140476</v>
      </c>
      <c r="E5" t="s">
        <v>96</v>
      </c>
      <c r="F5">
        <v>7</v>
      </c>
      <c r="G5">
        <v>0</v>
      </c>
      <c r="H5">
        <v>5</v>
      </c>
      <c r="I5">
        <v>3</v>
      </c>
      <c r="J5">
        <v>2</v>
      </c>
      <c r="K5">
        <v>5</v>
      </c>
      <c r="L5">
        <v>2</v>
      </c>
      <c r="M5">
        <v>0</v>
      </c>
      <c r="N5">
        <v>12</v>
      </c>
      <c r="O5">
        <v>23.036000000000001</v>
      </c>
      <c r="P5">
        <v>21.718</v>
      </c>
      <c r="Q5">
        <v>1.3180000000000009</v>
      </c>
      <c r="R5">
        <v>60</v>
      </c>
      <c r="S5">
        <v>383</v>
      </c>
      <c r="T5">
        <v>21</v>
      </c>
      <c r="U5">
        <v>5.721479423511032</v>
      </c>
      <c r="V5">
        <v>41.666666666666671</v>
      </c>
    </row>
    <row r="6" spans="1:22" x14ac:dyDescent="0.3">
      <c r="A6">
        <v>5</v>
      </c>
      <c r="B6" t="s">
        <v>94</v>
      </c>
      <c r="C6" t="s">
        <v>95</v>
      </c>
      <c r="D6">
        <v>37140476</v>
      </c>
      <c r="E6" t="s">
        <v>96</v>
      </c>
      <c r="F6">
        <v>7</v>
      </c>
      <c r="G6">
        <v>0</v>
      </c>
      <c r="H6">
        <v>2</v>
      </c>
      <c r="I6">
        <v>3</v>
      </c>
      <c r="J6">
        <v>2</v>
      </c>
      <c r="K6">
        <v>4</v>
      </c>
      <c r="L6">
        <v>-1</v>
      </c>
      <c r="M6">
        <v>1</v>
      </c>
      <c r="N6">
        <v>9</v>
      </c>
      <c r="O6">
        <v>21.93</v>
      </c>
      <c r="P6">
        <v>20.725999999999999</v>
      </c>
      <c r="Q6">
        <v>1.2040000000000011</v>
      </c>
      <c r="R6">
        <v>60</v>
      </c>
      <c r="S6">
        <v>365</v>
      </c>
      <c r="T6">
        <v>20</v>
      </c>
      <c r="U6">
        <v>5.4901960784313752</v>
      </c>
      <c r="V6">
        <v>22.222222222222221</v>
      </c>
    </row>
    <row r="7" spans="1:22" x14ac:dyDescent="0.3">
      <c r="A7">
        <v>6</v>
      </c>
      <c r="B7" t="s">
        <v>94</v>
      </c>
      <c r="C7" t="s">
        <v>95</v>
      </c>
      <c r="D7">
        <v>37140476</v>
      </c>
      <c r="E7" t="s">
        <v>96</v>
      </c>
      <c r="F7">
        <v>7</v>
      </c>
      <c r="G7">
        <v>0</v>
      </c>
      <c r="H7">
        <v>3</v>
      </c>
      <c r="I7">
        <v>3</v>
      </c>
      <c r="J7">
        <v>2</v>
      </c>
      <c r="K7">
        <v>4</v>
      </c>
      <c r="L7">
        <v>0</v>
      </c>
      <c r="M7">
        <v>1</v>
      </c>
      <c r="N7">
        <v>10</v>
      </c>
      <c r="O7">
        <v>21.585999999999999</v>
      </c>
      <c r="P7">
        <v>19.422999999999998</v>
      </c>
      <c r="Q7">
        <v>2.1629999999999998</v>
      </c>
      <c r="R7">
        <v>60</v>
      </c>
      <c r="S7">
        <v>359</v>
      </c>
      <c r="T7">
        <v>36</v>
      </c>
      <c r="U7">
        <v>10.02038358195127</v>
      </c>
      <c r="V7">
        <v>30</v>
      </c>
    </row>
    <row r="8" spans="1:22" x14ac:dyDescent="0.3">
      <c r="A8">
        <v>7</v>
      </c>
      <c r="B8" t="s">
        <v>94</v>
      </c>
      <c r="C8" t="s">
        <v>97</v>
      </c>
      <c r="D8">
        <v>37140476</v>
      </c>
      <c r="E8" t="s">
        <v>96</v>
      </c>
      <c r="F8">
        <v>7</v>
      </c>
      <c r="G8">
        <v>0</v>
      </c>
      <c r="H8">
        <v>2</v>
      </c>
      <c r="I8">
        <v>3</v>
      </c>
      <c r="J8">
        <v>2</v>
      </c>
      <c r="K8">
        <v>5</v>
      </c>
      <c r="L8">
        <v>-1</v>
      </c>
      <c r="M8">
        <v>1</v>
      </c>
      <c r="N8">
        <v>9</v>
      </c>
      <c r="O8">
        <v>24.75</v>
      </c>
      <c r="P8">
        <v>22.245000000000001</v>
      </c>
      <c r="Q8">
        <v>2.504999999999999</v>
      </c>
      <c r="R8">
        <v>60</v>
      </c>
      <c r="S8">
        <v>412</v>
      </c>
      <c r="T8">
        <v>41</v>
      </c>
      <c r="U8">
        <v>10.121212121212119</v>
      </c>
      <c r="V8">
        <v>22.222222222222221</v>
      </c>
    </row>
    <row r="9" spans="1:22" x14ac:dyDescent="0.3">
      <c r="A9">
        <v>8</v>
      </c>
      <c r="B9" t="s">
        <v>98</v>
      </c>
      <c r="C9" t="s">
        <v>99</v>
      </c>
      <c r="D9">
        <v>37144586</v>
      </c>
      <c r="E9" t="s">
        <v>100</v>
      </c>
      <c r="F9">
        <v>38</v>
      </c>
      <c r="G9">
        <v>0</v>
      </c>
      <c r="H9">
        <v>2</v>
      </c>
      <c r="I9">
        <v>1</v>
      </c>
      <c r="J9">
        <v>1</v>
      </c>
      <c r="K9">
        <v>2</v>
      </c>
      <c r="L9">
        <v>1</v>
      </c>
      <c r="M9">
        <v>0</v>
      </c>
      <c r="N9">
        <v>40</v>
      </c>
      <c r="O9">
        <v>24.75</v>
      </c>
      <c r="P9">
        <v>23.106999999999999</v>
      </c>
      <c r="Q9">
        <v>1.6430000000000009</v>
      </c>
      <c r="R9">
        <v>25</v>
      </c>
      <c r="S9">
        <v>990</v>
      </c>
      <c r="T9">
        <v>65</v>
      </c>
      <c r="U9">
        <v>6.6383838383838407</v>
      </c>
      <c r="V9">
        <v>5</v>
      </c>
    </row>
    <row r="10" spans="1:22" x14ac:dyDescent="0.3">
      <c r="A10">
        <v>9</v>
      </c>
      <c r="B10" t="s">
        <v>98</v>
      </c>
      <c r="C10" t="s">
        <v>99</v>
      </c>
      <c r="D10">
        <v>37144586</v>
      </c>
      <c r="E10" t="s">
        <v>100</v>
      </c>
      <c r="F10">
        <v>38</v>
      </c>
      <c r="G10">
        <v>0</v>
      </c>
      <c r="H10">
        <v>2</v>
      </c>
      <c r="I10">
        <v>1</v>
      </c>
      <c r="J10">
        <v>1</v>
      </c>
      <c r="K10">
        <v>2</v>
      </c>
      <c r="L10">
        <v>1</v>
      </c>
      <c r="M10">
        <v>0</v>
      </c>
      <c r="N10">
        <v>40</v>
      </c>
      <c r="O10">
        <v>24.745000000000001</v>
      </c>
      <c r="P10">
        <v>22.802</v>
      </c>
      <c r="Q10">
        <v>1.9430000000000009</v>
      </c>
      <c r="R10">
        <v>25</v>
      </c>
      <c r="S10">
        <v>989</v>
      </c>
      <c r="T10">
        <v>77</v>
      </c>
      <c r="U10">
        <v>7.8520913315821437</v>
      </c>
      <c r="V10">
        <v>5</v>
      </c>
    </row>
    <row r="11" spans="1:22" x14ac:dyDescent="0.3">
      <c r="A11">
        <v>10</v>
      </c>
      <c r="B11" t="s">
        <v>98</v>
      </c>
      <c r="C11" t="s">
        <v>99</v>
      </c>
      <c r="D11">
        <v>37144586</v>
      </c>
      <c r="E11" t="s">
        <v>100</v>
      </c>
      <c r="F11">
        <v>38</v>
      </c>
      <c r="G11">
        <v>0</v>
      </c>
      <c r="H11">
        <v>1</v>
      </c>
      <c r="I11">
        <v>1</v>
      </c>
      <c r="J11">
        <v>1</v>
      </c>
      <c r="K11">
        <v>2</v>
      </c>
      <c r="L11">
        <v>0</v>
      </c>
      <c r="M11">
        <v>1</v>
      </c>
      <c r="N11">
        <v>39</v>
      </c>
      <c r="O11">
        <v>24.75</v>
      </c>
      <c r="P11">
        <v>22.446000000000002</v>
      </c>
      <c r="Q11">
        <v>2.303999999999998</v>
      </c>
      <c r="R11">
        <v>25</v>
      </c>
      <c r="S11">
        <v>990</v>
      </c>
      <c r="T11">
        <v>92</v>
      </c>
      <c r="U11">
        <v>9.3090909090909033</v>
      </c>
      <c r="V11">
        <v>2.5641025641025639</v>
      </c>
    </row>
    <row r="12" spans="1:22" x14ac:dyDescent="0.3">
      <c r="A12">
        <v>11</v>
      </c>
      <c r="B12" t="s">
        <v>98</v>
      </c>
      <c r="C12" t="s">
        <v>99</v>
      </c>
      <c r="D12">
        <v>37144586</v>
      </c>
      <c r="E12" t="s">
        <v>100</v>
      </c>
      <c r="F12">
        <v>38</v>
      </c>
      <c r="G12">
        <v>0</v>
      </c>
      <c r="H12">
        <v>2</v>
      </c>
      <c r="I12">
        <v>1</v>
      </c>
      <c r="J12">
        <v>1</v>
      </c>
      <c r="K12">
        <v>2</v>
      </c>
      <c r="L12">
        <v>1</v>
      </c>
      <c r="M12">
        <v>0</v>
      </c>
      <c r="N12">
        <v>40</v>
      </c>
      <c r="O12">
        <v>20.663</v>
      </c>
      <c r="P12">
        <v>18.606999999999999</v>
      </c>
      <c r="Q12">
        <v>2.0560000000000009</v>
      </c>
      <c r="R12">
        <v>25</v>
      </c>
      <c r="S12">
        <v>826</v>
      </c>
      <c r="T12">
        <v>82</v>
      </c>
      <c r="U12">
        <v>9.9501524464017859</v>
      </c>
      <c r="V12">
        <v>5</v>
      </c>
    </row>
    <row r="13" spans="1:22" x14ac:dyDescent="0.3">
      <c r="A13">
        <v>12</v>
      </c>
      <c r="B13" t="s">
        <v>98</v>
      </c>
      <c r="C13" t="s">
        <v>97</v>
      </c>
      <c r="D13">
        <v>37822411</v>
      </c>
      <c r="E13" t="s">
        <v>100</v>
      </c>
      <c r="F13">
        <v>38</v>
      </c>
      <c r="G13">
        <v>143</v>
      </c>
      <c r="H13">
        <v>2</v>
      </c>
      <c r="I13">
        <v>2</v>
      </c>
      <c r="J13">
        <v>1</v>
      </c>
      <c r="K13">
        <v>2</v>
      </c>
      <c r="L13">
        <v>0</v>
      </c>
      <c r="M13">
        <v>1</v>
      </c>
      <c r="N13">
        <v>183</v>
      </c>
      <c r="O13">
        <v>24.75</v>
      </c>
      <c r="P13">
        <v>22.456</v>
      </c>
      <c r="Q13">
        <v>2.294</v>
      </c>
      <c r="R13">
        <v>25</v>
      </c>
      <c r="S13">
        <v>990</v>
      </c>
      <c r="T13">
        <v>91</v>
      </c>
      <c r="U13">
        <v>9.2686868686868706</v>
      </c>
      <c r="V13">
        <v>1.0928961748633881</v>
      </c>
    </row>
    <row r="14" spans="1:22" x14ac:dyDescent="0.3">
      <c r="A14">
        <v>13</v>
      </c>
      <c r="B14" t="s">
        <v>98</v>
      </c>
      <c r="C14" t="s">
        <v>97</v>
      </c>
      <c r="D14">
        <v>37822411</v>
      </c>
      <c r="E14" t="s">
        <v>100</v>
      </c>
      <c r="F14">
        <v>38</v>
      </c>
      <c r="G14">
        <v>143</v>
      </c>
      <c r="H14">
        <v>2</v>
      </c>
      <c r="I14">
        <v>2</v>
      </c>
      <c r="J14">
        <v>1</v>
      </c>
      <c r="K14">
        <v>2</v>
      </c>
      <c r="L14">
        <v>0</v>
      </c>
      <c r="M14">
        <v>1</v>
      </c>
      <c r="N14">
        <v>183</v>
      </c>
      <c r="O14">
        <v>24.75</v>
      </c>
      <c r="P14">
        <v>23.099</v>
      </c>
      <c r="Q14">
        <v>1.651</v>
      </c>
      <c r="R14">
        <v>25</v>
      </c>
      <c r="S14">
        <v>990</v>
      </c>
      <c r="T14">
        <v>66</v>
      </c>
      <c r="U14">
        <v>6.6707070707070697</v>
      </c>
      <c r="V14">
        <v>1.0928961748633881</v>
      </c>
    </row>
    <row r="15" spans="1:22" x14ac:dyDescent="0.3">
      <c r="A15">
        <v>14</v>
      </c>
      <c r="B15" t="s">
        <v>98</v>
      </c>
      <c r="C15" t="s">
        <v>97</v>
      </c>
      <c r="D15">
        <v>37822411</v>
      </c>
      <c r="E15" t="s">
        <v>100</v>
      </c>
      <c r="F15">
        <v>38</v>
      </c>
      <c r="G15">
        <v>143</v>
      </c>
      <c r="H15">
        <v>1</v>
      </c>
      <c r="I15">
        <v>2</v>
      </c>
      <c r="J15">
        <v>1</v>
      </c>
      <c r="K15">
        <v>2</v>
      </c>
      <c r="L15">
        <v>-1</v>
      </c>
      <c r="M15">
        <v>1</v>
      </c>
      <c r="N15">
        <v>182</v>
      </c>
      <c r="O15">
        <v>24.75</v>
      </c>
      <c r="P15">
        <v>22.876000000000001</v>
      </c>
      <c r="Q15">
        <v>1.873999999999999</v>
      </c>
      <c r="R15">
        <v>25</v>
      </c>
      <c r="S15">
        <v>990</v>
      </c>
      <c r="T15">
        <v>74</v>
      </c>
      <c r="U15">
        <v>7.5717171717171672</v>
      </c>
      <c r="V15">
        <v>0.5494505494505495</v>
      </c>
    </row>
    <row r="16" spans="1:22" x14ac:dyDescent="0.3">
      <c r="A16">
        <v>15</v>
      </c>
      <c r="B16" t="s">
        <v>94</v>
      </c>
      <c r="C16" t="s">
        <v>97</v>
      </c>
      <c r="D16">
        <v>37166894</v>
      </c>
      <c r="E16" t="s">
        <v>101</v>
      </c>
      <c r="F16">
        <v>2</v>
      </c>
      <c r="G16">
        <v>2</v>
      </c>
      <c r="H16">
        <v>4</v>
      </c>
      <c r="I16">
        <v>3</v>
      </c>
      <c r="J16">
        <v>2</v>
      </c>
      <c r="K16">
        <v>5</v>
      </c>
      <c r="L16">
        <v>1</v>
      </c>
      <c r="M16">
        <v>0</v>
      </c>
      <c r="N16">
        <v>8</v>
      </c>
      <c r="O16">
        <v>24.75</v>
      </c>
      <c r="P16">
        <v>23.116</v>
      </c>
      <c r="Q16">
        <v>1.6339999999999999</v>
      </c>
      <c r="R16">
        <v>25</v>
      </c>
      <c r="S16">
        <v>990</v>
      </c>
      <c r="T16">
        <v>65</v>
      </c>
      <c r="U16">
        <v>6.6020202020202037</v>
      </c>
      <c r="V16">
        <v>50</v>
      </c>
    </row>
    <row r="17" spans="1:22" x14ac:dyDescent="0.3">
      <c r="A17">
        <v>16</v>
      </c>
      <c r="B17" t="s">
        <v>94</v>
      </c>
      <c r="C17" t="s">
        <v>97</v>
      </c>
      <c r="D17">
        <v>37166894</v>
      </c>
      <c r="E17" t="s">
        <v>101</v>
      </c>
      <c r="F17">
        <v>2</v>
      </c>
      <c r="G17">
        <v>2</v>
      </c>
      <c r="H17">
        <v>3</v>
      </c>
      <c r="I17">
        <v>3</v>
      </c>
      <c r="J17">
        <v>2</v>
      </c>
      <c r="K17">
        <v>5</v>
      </c>
      <c r="L17">
        <v>0</v>
      </c>
      <c r="M17">
        <v>1</v>
      </c>
      <c r="N17">
        <v>7</v>
      </c>
      <c r="O17">
        <v>24.75</v>
      </c>
      <c r="P17">
        <v>22.416</v>
      </c>
      <c r="Q17">
        <v>2.3340000000000001</v>
      </c>
      <c r="R17">
        <v>25</v>
      </c>
      <c r="S17">
        <v>990</v>
      </c>
      <c r="T17">
        <v>93</v>
      </c>
      <c r="U17">
        <v>9.4303030303030297</v>
      </c>
      <c r="V17">
        <v>42.857142857142847</v>
      </c>
    </row>
    <row r="18" spans="1:22" x14ac:dyDescent="0.3">
      <c r="A18">
        <v>17</v>
      </c>
      <c r="B18" t="s">
        <v>94</v>
      </c>
      <c r="C18" t="s">
        <v>97</v>
      </c>
      <c r="D18">
        <v>37166894</v>
      </c>
      <c r="E18" t="s">
        <v>101</v>
      </c>
      <c r="F18">
        <v>2</v>
      </c>
      <c r="G18">
        <v>2</v>
      </c>
      <c r="H18">
        <v>2</v>
      </c>
      <c r="I18">
        <v>3</v>
      </c>
      <c r="J18">
        <v>2</v>
      </c>
      <c r="K18">
        <v>5</v>
      </c>
      <c r="L18">
        <v>-1</v>
      </c>
      <c r="M18">
        <v>1</v>
      </c>
      <c r="N18">
        <v>6</v>
      </c>
      <c r="O18">
        <v>22.802</v>
      </c>
      <c r="P18">
        <v>21.280999999999999</v>
      </c>
      <c r="Q18">
        <v>1.521000000000001</v>
      </c>
      <c r="R18">
        <v>25</v>
      </c>
      <c r="S18">
        <v>912</v>
      </c>
      <c r="T18">
        <v>60</v>
      </c>
      <c r="U18">
        <v>6.6704675028506317</v>
      </c>
      <c r="V18">
        <v>33.333333333333329</v>
      </c>
    </row>
    <row r="19" spans="1:22" x14ac:dyDescent="0.3">
      <c r="A19">
        <v>18</v>
      </c>
      <c r="B19" t="s">
        <v>94</v>
      </c>
      <c r="C19" t="s">
        <v>97</v>
      </c>
      <c r="D19">
        <v>37186387</v>
      </c>
      <c r="E19" t="s">
        <v>102</v>
      </c>
      <c r="F19">
        <v>1</v>
      </c>
      <c r="G19">
        <v>4</v>
      </c>
      <c r="H19">
        <v>1</v>
      </c>
      <c r="I19">
        <v>3</v>
      </c>
      <c r="J19">
        <v>2</v>
      </c>
      <c r="K19">
        <v>5</v>
      </c>
      <c r="L19">
        <v>-2</v>
      </c>
      <c r="M19">
        <v>1</v>
      </c>
      <c r="N19">
        <v>6</v>
      </c>
      <c r="O19">
        <v>24.75</v>
      </c>
      <c r="P19">
        <v>22.654</v>
      </c>
      <c r="Q19">
        <v>2.0960000000000001</v>
      </c>
      <c r="R19">
        <v>25</v>
      </c>
      <c r="S19">
        <v>990</v>
      </c>
      <c r="T19">
        <v>83</v>
      </c>
      <c r="U19">
        <v>8.4686868686868682</v>
      </c>
      <c r="V19">
        <v>16.666666666666661</v>
      </c>
    </row>
    <row r="20" spans="1:22" x14ac:dyDescent="0.3">
      <c r="A20">
        <v>19</v>
      </c>
      <c r="B20" t="s">
        <v>94</v>
      </c>
      <c r="C20" t="s">
        <v>97</v>
      </c>
      <c r="D20">
        <v>37186387</v>
      </c>
      <c r="E20" t="s">
        <v>102</v>
      </c>
      <c r="F20">
        <v>1</v>
      </c>
      <c r="G20">
        <v>3</v>
      </c>
      <c r="H20">
        <v>5</v>
      </c>
      <c r="I20">
        <v>3</v>
      </c>
      <c r="J20">
        <v>2</v>
      </c>
      <c r="K20">
        <v>5</v>
      </c>
      <c r="L20">
        <v>2</v>
      </c>
      <c r="M20">
        <v>0</v>
      </c>
      <c r="N20">
        <v>9</v>
      </c>
      <c r="O20">
        <v>24.75</v>
      </c>
      <c r="P20">
        <v>22.210999999999999</v>
      </c>
      <c r="Q20">
        <v>2.539000000000001</v>
      </c>
      <c r="R20">
        <v>25</v>
      </c>
      <c r="S20">
        <v>990</v>
      </c>
      <c r="T20">
        <v>101</v>
      </c>
      <c r="U20">
        <v>10.25858585858586</v>
      </c>
      <c r="V20">
        <v>55.555555555555557</v>
      </c>
    </row>
    <row r="21" spans="1:22" x14ac:dyDescent="0.3">
      <c r="A21">
        <v>20</v>
      </c>
      <c r="B21" t="s">
        <v>94</v>
      </c>
      <c r="C21" t="s">
        <v>97</v>
      </c>
      <c r="D21">
        <v>37186387</v>
      </c>
      <c r="E21" t="s">
        <v>102</v>
      </c>
      <c r="F21">
        <v>1</v>
      </c>
      <c r="G21">
        <v>3</v>
      </c>
      <c r="H21">
        <v>2</v>
      </c>
      <c r="I21">
        <v>3</v>
      </c>
      <c r="J21">
        <v>2</v>
      </c>
      <c r="K21">
        <v>5</v>
      </c>
      <c r="L21">
        <v>-1</v>
      </c>
      <c r="M21">
        <v>1</v>
      </c>
      <c r="N21">
        <v>6</v>
      </c>
      <c r="O21">
        <v>24.75</v>
      </c>
      <c r="P21">
        <v>21.324999999999999</v>
      </c>
      <c r="Q21">
        <v>3.4250000000000012</v>
      </c>
      <c r="R21">
        <v>25</v>
      </c>
      <c r="S21">
        <v>990</v>
      </c>
      <c r="T21">
        <v>137</v>
      </c>
      <c r="U21">
        <v>13.838383838383839</v>
      </c>
      <c r="V21">
        <v>33.333333333333329</v>
      </c>
    </row>
    <row r="22" spans="1:22" x14ac:dyDescent="0.3">
      <c r="A22">
        <v>21</v>
      </c>
      <c r="B22" t="s">
        <v>94</v>
      </c>
      <c r="C22" t="s">
        <v>97</v>
      </c>
      <c r="D22">
        <v>37186387</v>
      </c>
      <c r="E22" t="s">
        <v>102</v>
      </c>
      <c r="F22">
        <v>1</v>
      </c>
      <c r="G22">
        <v>3</v>
      </c>
      <c r="H22">
        <v>4</v>
      </c>
      <c r="I22">
        <v>3</v>
      </c>
      <c r="J22">
        <v>2</v>
      </c>
      <c r="K22">
        <v>5</v>
      </c>
      <c r="L22">
        <v>1</v>
      </c>
      <c r="M22">
        <v>0</v>
      </c>
      <c r="N22">
        <v>8</v>
      </c>
      <c r="O22">
        <v>24.75</v>
      </c>
      <c r="P22">
        <v>22.007999999999999</v>
      </c>
      <c r="Q22">
        <v>2.7420000000000009</v>
      </c>
      <c r="R22">
        <v>25</v>
      </c>
      <c r="S22">
        <v>990</v>
      </c>
      <c r="T22">
        <v>109</v>
      </c>
      <c r="U22">
        <v>11.07878787878788</v>
      </c>
      <c r="V22">
        <v>50</v>
      </c>
    </row>
    <row r="23" spans="1:22" x14ac:dyDescent="0.3">
      <c r="A23">
        <v>22</v>
      </c>
      <c r="B23" t="s">
        <v>94</v>
      </c>
      <c r="C23" t="s">
        <v>95</v>
      </c>
      <c r="D23">
        <v>37197795</v>
      </c>
      <c r="E23" t="s">
        <v>103</v>
      </c>
      <c r="F23">
        <v>4</v>
      </c>
      <c r="G23">
        <v>1</v>
      </c>
      <c r="H23">
        <v>3</v>
      </c>
      <c r="I23">
        <v>3</v>
      </c>
      <c r="J23">
        <v>2</v>
      </c>
      <c r="K23">
        <v>4</v>
      </c>
      <c r="L23">
        <v>0</v>
      </c>
      <c r="M23">
        <v>1</v>
      </c>
      <c r="N23">
        <v>8</v>
      </c>
      <c r="O23">
        <v>23.067</v>
      </c>
      <c r="P23">
        <v>21.701000000000001</v>
      </c>
      <c r="Q23">
        <v>1.3660000000000001</v>
      </c>
      <c r="R23">
        <v>50</v>
      </c>
      <c r="S23">
        <v>461</v>
      </c>
      <c r="T23">
        <v>27</v>
      </c>
      <c r="U23">
        <v>5.92187974162223</v>
      </c>
      <c r="V23">
        <v>37.5</v>
      </c>
    </row>
    <row r="24" spans="1:22" x14ac:dyDescent="0.3">
      <c r="A24">
        <v>23</v>
      </c>
      <c r="B24" t="s">
        <v>94</v>
      </c>
      <c r="C24" t="s">
        <v>95</v>
      </c>
      <c r="D24">
        <v>37197795</v>
      </c>
      <c r="E24" t="s">
        <v>103</v>
      </c>
      <c r="F24">
        <v>4</v>
      </c>
      <c r="G24">
        <v>1</v>
      </c>
      <c r="H24">
        <v>2</v>
      </c>
      <c r="I24">
        <v>3</v>
      </c>
      <c r="J24">
        <v>2</v>
      </c>
      <c r="K24">
        <v>4</v>
      </c>
      <c r="L24">
        <v>-1</v>
      </c>
      <c r="M24">
        <v>1</v>
      </c>
      <c r="N24">
        <v>7</v>
      </c>
      <c r="O24">
        <v>24.75</v>
      </c>
      <c r="P24">
        <v>22.777000000000001</v>
      </c>
      <c r="Q24">
        <v>1.972999999999999</v>
      </c>
      <c r="R24">
        <v>50</v>
      </c>
      <c r="S24">
        <v>495</v>
      </c>
      <c r="T24">
        <v>39</v>
      </c>
      <c r="U24">
        <v>7.9717171717171684</v>
      </c>
      <c r="V24">
        <v>28.571428571428569</v>
      </c>
    </row>
    <row r="25" spans="1:22" x14ac:dyDescent="0.3">
      <c r="A25">
        <v>24</v>
      </c>
      <c r="B25" t="s">
        <v>94</v>
      </c>
      <c r="C25" t="s">
        <v>95</v>
      </c>
      <c r="D25">
        <v>37197795</v>
      </c>
      <c r="E25" t="s">
        <v>103</v>
      </c>
      <c r="F25">
        <v>4</v>
      </c>
      <c r="G25">
        <v>1</v>
      </c>
      <c r="H25">
        <v>1</v>
      </c>
      <c r="I25">
        <v>3</v>
      </c>
      <c r="J25">
        <v>2</v>
      </c>
      <c r="K25">
        <v>4</v>
      </c>
      <c r="L25">
        <v>-2</v>
      </c>
      <c r="M25">
        <v>1</v>
      </c>
      <c r="N25">
        <v>6</v>
      </c>
      <c r="O25">
        <v>24.75</v>
      </c>
      <c r="P25">
        <v>22.834</v>
      </c>
      <c r="Q25">
        <v>1.9159999999999999</v>
      </c>
      <c r="R25">
        <v>50</v>
      </c>
      <c r="S25">
        <v>495</v>
      </c>
      <c r="T25">
        <v>38</v>
      </c>
      <c r="U25">
        <v>7.7414141414141433</v>
      </c>
      <c r="V25">
        <v>16.666666666666661</v>
      </c>
    </row>
    <row r="26" spans="1:22" x14ac:dyDescent="0.3">
      <c r="A26">
        <v>25</v>
      </c>
      <c r="B26" t="s">
        <v>94</v>
      </c>
      <c r="C26" t="s">
        <v>97</v>
      </c>
      <c r="D26">
        <v>37202968</v>
      </c>
      <c r="E26" t="s">
        <v>104</v>
      </c>
      <c r="F26">
        <v>3</v>
      </c>
      <c r="G26">
        <v>1</v>
      </c>
      <c r="H26">
        <v>3</v>
      </c>
      <c r="I26">
        <v>3</v>
      </c>
      <c r="J26">
        <v>2</v>
      </c>
      <c r="K26">
        <v>5</v>
      </c>
      <c r="L26">
        <v>0</v>
      </c>
      <c r="M26">
        <v>1</v>
      </c>
      <c r="N26">
        <v>7</v>
      </c>
      <c r="O26">
        <v>24.75</v>
      </c>
      <c r="P26">
        <v>22.611999999999998</v>
      </c>
      <c r="Q26">
        <v>2.1380000000000021</v>
      </c>
      <c r="R26">
        <v>25</v>
      </c>
      <c r="S26">
        <v>990</v>
      </c>
      <c r="T26">
        <v>85</v>
      </c>
      <c r="U26">
        <v>8.6383838383838452</v>
      </c>
      <c r="V26">
        <v>42.857142857142847</v>
      </c>
    </row>
    <row r="27" spans="1:22" x14ac:dyDescent="0.3">
      <c r="A27">
        <v>26</v>
      </c>
      <c r="B27" t="s">
        <v>94</v>
      </c>
      <c r="C27" t="s">
        <v>97</v>
      </c>
      <c r="D27">
        <v>37202968</v>
      </c>
      <c r="E27" t="s">
        <v>104</v>
      </c>
      <c r="F27">
        <v>3</v>
      </c>
      <c r="G27">
        <v>1</v>
      </c>
      <c r="H27">
        <v>2</v>
      </c>
      <c r="I27">
        <v>3</v>
      </c>
      <c r="J27">
        <v>2</v>
      </c>
      <c r="K27">
        <v>5</v>
      </c>
      <c r="L27">
        <v>-1</v>
      </c>
      <c r="M27">
        <v>1</v>
      </c>
      <c r="N27">
        <v>6</v>
      </c>
      <c r="O27">
        <v>24.492000000000001</v>
      </c>
      <c r="P27">
        <v>22.786999999999999</v>
      </c>
      <c r="Q27">
        <v>1.7050000000000021</v>
      </c>
      <c r="R27">
        <v>25</v>
      </c>
      <c r="S27">
        <v>979</v>
      </c>
      <c r="T27">
        <v>68</v>
      </c>
      <c r="U27">
        <v>6.9614568022211403</v>
      </c>
      <c r="V27">
        <v>33.333333333333329</v>
      </c>
    </row>
    <row r="28" spans="1:22" x14ac:dyDescent="0.3">
      <c r="A28">
        <v>27</v>
      </c>
      <c r="B28" t="s">
        <v>94</v>
      </c>
      <c r="C28" t="s">
        <v>97</v>
      </c>
      <c r="D28">
        <v>37202968</v>
      </c>
      <c r="E28" t="s">
        <v>104</v>
      </c>
      <c r="F28">
        <v>3</v>
      </c>
      <c r="G28">
        <v>1</v>
      </c>
      <c r="H28">
        <v>3</v>
      </c>
      <c r="I28">
        <v>3</v>
      </c>
      <c r="J28">
        <v>2</v>
      </c>
      <c r="K28">
        <v>5</v>
      </c>
      <c r="L28">
        <v>0</v>
      </c>
      <c r="M28">
        <v>1</v>
      </c>
      <c r="N28">
        <v>7</v>
      </c>
      <c r="O28">
        <v>24.75</v>
      </c>
      <c r="P28">
        <v>22.619</v>
      </c>
      <c r="Q28">
        <v>2.1309999999999998</v>
      </c>
      <c r="R28">
        <v>25</v>
      </c>
      <c r="S28">
        <v>990</v>
      </c>
      <c r="T28">
        <v>85</v>
      </c>
      <c r="U28">
        <v>8.61010101010101</v>
      </c>
      <c r="V28">
        <v>42.857142857142847</v>
      </c>
    </row>
    <row r="29" spans="1:22" x14ac:dyDescent="0.3">
      <c r="A29">
        <v>28</v>
      </c>
      <c r="B29" t="s">
        <v>94</v>
      </c>
      <c r="C29" t="s">
        <v>97</v>
      </c>
      <c r="D29">
        <v>37236024</v>
      </c>
      <c r="E29" t="s">
        <v>105</v>
      </c>
      <c r="F29">
        <v>5</v>
      </c>
      <c r="G29">
        <v>7</v>
      </c>
      <c r="H29">
        <v>3</v>
      </c>
      <c r="I29">
        <v>3</v>
      </c>
      <c r="J29">
        <v>2</v>
      </c>
      <c r="K29">
        <v>5</v>
      </c>
      <c r="L29">
        <v>0</v>
      </c>
      <c r="M29">
        <v>1</v>
      </c>
      <c r="N29">
        <v>15</v>
      </c>
      <c r="O29">
        <v>21.088000000000001</v>
      </c>
      <c r="P29">
        <v>19.550999999999998</v>
      </c>
      <c r="Q29">
        <v>1.537000000000003</v>
      </c>
      <c r="R29">
        <v>25</v>
      </c>
      <c r="S29">
        <v>843</v>
      </c>
      <c r="T29">
        <v>61</v>
      </c>
      <c r="U29">
        <v>7.2885053110774018</v>
      </c>
      <c r="V29">
        <v>20</v>
      </c>
    </row>
    <row r="30" spans="1:22" x14ac:dyDescent="0.3">
      <c r="A30">
        <v>29</v>
      </c>
      <c r="B30" t="s">
        <v>94</v>
      </c>
      <c r="C30" t="s">
        <v>97</v>
      </c>
      <c r="D30">
        <v>37236024</v>
      </c>
      <c r="E30" t="s">
        <v>105</v>
      </c>
      <c r="F30">
        <v>5</v>
      </c>
      <c r="G30">
        <v>7</v>
      </c>
      <c r="H30">
        <v>2</v>
      </c>
      <c r="I30">
        <v>3</v>
      </c>
      <c r="J30">
        <v>2</v>
      </c>
      <c r="K30">
        <v>5</v>
      </c>
      <c r="L30">
        <v>-1</v>
      </c>
      <c r="M30">
        <v>1</v>
      </c>
      <c r="N30">
        <v>14</v>
      </c>
      <c r="O30">
        <v>24.75</v>
      </c>
      <c r="P30">
        <v>23.369</v>
      </c>
      <c r="Q30">
        <v>1.381</v>
      </c>
      <c r="R30">
        <v>25</v>
      </c>
      <c r="S30">
        <v>990</v>
      </c>
      <c r="T30">
        <v>55</v>
      </c>
      <c r="U30">
        <v>5.5797979797979806</v>
      </c>
      <c r="V30">
        <v>14.285714285714279</v>
      </c>
    </row>
    <row r="31" spans="1:22" x14ac:dyDescent="0.3">
      <c r="A31">
        <v>30</v>
      </c>
      <c r="B31" t="s">
        <v>94</v>
      </c>
      <c r="C31" t="s">
        <v>95</v>
      </c>
      <c r="D31">
        <v>37211755</v>
      </c>
      <c r="E31" t="s">
        <v>96</v>
      </c>
      <c r="F31">
        <v>3</v>
      </c>
      <c r="G31">
        <v>3</v>
      </c>
      <c r="H31">
        <v>2</v>
      </c>
      <c r="I31">
        <v>3</v>
      </c>
      <c r="J31">
        <v>2</v>
      </c>
      <c r="K31">
        <v>4</v>
      </c>
      <c r="L31">
        <v>-1</v>
      </c>
      <c r="M31">
        <v>1</v>
      </c>
      <c r="N31">
        <v>8</v>
      </c>
      <c r="O31">
        <v>24.75</v>
      </c>
      <c r="P31">
        <v>22.956</v>
      </c>
      <c r="Q31">
        <v>1.794</v>
      </c>
      <c r="R31">
        <v>60</v>
      </c>
      <c r="S31">
        <v>412</v>
      </c>
      <c r="T31">
        <v>29</v>
      </c>
      <c r="U31">
        <v>7.2484848484848499</v>
      </c>
      <c r="V31">
        <v>25</v>
      </c>
    </row>
    <row r="32" spans="1:22" x14ac:dyDescent="0.3">
      <c r="A32">
        <v>31</v>
      </c>
      <c r="B32" t="s">
        <v>94</v>
      </c>
      <c r="C32" t="s">
        <v>95</v>
      </c>
      <c r="D32">
        <v>37234942</v>
      </c>
      <c r="E32" t="s">
        <v>96</v>
      </c>
      <c r="F32">
        <v>3</v>
      </c>
      <c r="G32">
        <v>2</v>
      </c>
      <c r="H32">
        <v>2</v>
      </c>
      <c r="I32">
        <v>3</v>
      </c>
      <c r="J32">
        <v>2</v>
      </c>
      <c r="K32">
        <v>4</v>
      </c>
      <c r="L32">
        <v>-1</v>
      </c>
      <c r="M32">
        <v>1</v>
      </c>
      <c r="N32">
        <v>7</v>
      </c>
      <c r="O32">
        <v>24.75</v>
      </c>
      <c r="P32">
        <v>22.446000000000002</v>
      </c>
      <c r="Q32">
        <v>2.303999999999998</v>
      </c>
      <c r="R32">
        <v>60</v>
      </c>
      <c r="S32">
        <v>412</v>
      </c>
      <c r="T32">
        <v>38</v>
      </c>
      <c r="U32">
        <v>9.3090909090909033</v>
      </c>
      <c r="V32">
        <v>28.571428571428569</v>
      </c>
    </row>
    <row r="33" spans="1:22" x14ac:dyDescent="0.3">
      <c r="A33">
        <v>32</v>
      </c>
      <c r="B33" t="s">
        <v>94</v>
      </c>
      <c r="C33" t="s">
        <v>95</v>
      </c>
      <c r="D33">
        <v>37234942</v>
      </c>
      <c r="E33" t="s">
        <v>96</v>
      </c>
      <c r="F33">
        <v>3</v>
      </c>
      <c r="G33">
        <v>2</v>
      </c>
      <c r="H33">
        <v>2</v>
      </c>
      <c r="I33">
        <v>3</v>
      </c>
      <c r="J33">
        <v>2</v>
      </c>
      <c r="K33">
        <v>4</v>
      </c>
      <c r="L33">
        <v>-1</v>
      </c>
      <c r="M33">
        <v>1</v>
      </c>
      <c r="N33">
        <v>7</v>
      </c>
      <c r="O33">
        <v>24.75</v>
      </c>
      <c r="P33">
        <v>23.123999999999999</v>
      </c>
      <c r="Q33">
        <v>1.626000000000001</v>
      </c>
      <c r="R33">
        <v>60</v>
      </c>
      <c r="S33">
        <v>412</v>
      </c>
      <c r="T33">
        <v>27</v>
      </c>
      <c r="U33">
        <v>6.5696969696969738</v>
      </c>
      <c r="V33">
        <v>28.571428571428569</v>
      </c>
    </row>
    <row r="34" spans="1:22" x14ac:dyDescent="0.3">
      <c r="A34">
        <v>33</v>
      </c>
      <c r="B34" t="s">
        <v>94</v>
      </c>
      <c r="C34" t="s">
        <v>95</v>
      </c>
      <c r="D34" t="s">
        <v>106</v>
      </c>
      <c r="E34" t="s">
        <v>96</v>
      </c>
      <c r="F34">
        <v>3</v>
      </c>
      <c r="G34">
        <v>3</v>
      </c>
      <c r="H34">
        <v>3</v>
      </c>
      <c r="I34">
        <v>3</v>
      </c>
      <c r="J34">
        <v>2</v>
      </c>
      <c r="K34">
        <v>4</v>
      </c>
      <c r="L34">
        <v>0</v>
      </c>
      <c r="M34">
        <v>1</v>
      </c>
      <c r="N34">
        <v>9</v>
      </c>
      <c r="O34">
        <v>24.75</v>
      </c>
      <c r="P34">
        <v>23.193000000000001</v>
      </c>
      <c r="Q34">
        <v>1.5569999999999991</v>
      </c>
      <c r="R34">
        <v>60</v>
      </c>
      <c r="S34">
        <v>412</v>
      </c>
      <c r="T34">
        <v>25</v>
      </c>
      <c r="U34">
        <v>6.2909090909090857</v>
      </c>
      <c r="V34">
        <v>33.333333333333329</v>
      </c>
    </row>
    <row r="35" spans="1:22" x14ac:dyDescent="0.3">
      <c r="A35">
        <v>34</v>
      </c>
      <c r="B35" t="s">
        <v>94</v>
      </c>
      <c r="C35" t="s">
        <v>95</v>
      </c>
      <c r="D35">
        <v>37211755</v>
      </c>
      <c r="E35" t="s">
        <v>96</v>
      </c>
      <c r="F35">
        <v>3</v>
      </c>
      <c r="G35">
        <v>3</v>
      </c>
      <c r="H35">
        <v>3</v>
      </c>
      <c r="I35">
        <v>3</v>
      </c>
      <c r="J35">
        <v>2</v>
      </c>
      <c r="K35">
        <v>4</v>
      </c>
      <c r="L35">
        <v>0</v>
      </c>
      <c r="M35">
        <v>1</v>
      </c>
      <c r="N35">
        <v>9</v>
      </c>
      <c r="O35">
        <v>24.68</v>
      </c>
      <c r="P35">
        <v>22.06</v>
      </c>
      <c r="Q35">
        <v>2.620000000000001</v>
      </c>
      <c r="R35">
        <v>60</v>
      </c>
      <c r="S35">
        <v>411</v>
      </c>
      <c r="T35">
        <v>43</v>
      </c>
      <c r="U35">
        <v>10.61588330632091</v>
      </c>
      <c r="V35">
        <v>33.333333333333329</v>
      </c>
    </row>
    <row r="36" spans="1:22" x14ac:dyDescent="0.3">
      <c r="A36">
        <v>35</v>
      </c>
      <c r="B36" t="s">
        <v>94</v>
      </c>
      <c r="C36" t="s">
        <v>95</v>
      </c>
      <c r="D36">
        <v>37211755</v>
      </c>
      <c r="E36" t="s">
        <v>96</v>
      </c>
      <c r="F36">
        <v>3</v>
      </c>
      <c r="G36">
        <v>3</v>
      </c>
      <c r="H36">
        <v>4</v>
      </c>
      <c r="I36">
        <v>3</v>
      </c>
      <c r="J36">
        <v>2</v>
      </c>
      <c r="K36">
        <v>4</v>
      </c>
      <c r="L36">
        <v>1</v>
      </c>
      <c r="M36">
        <v>0</v>
      </c>
      <c r="N36">
        <v>10</v>
      </c>
      <c r="O36">
        <v>23.02</v>
      </c>
      <c r="P36">
        <v>22.655999999999999</v>
      </c>
      <c r="Q36">
        <v>0.36400000000000082</v>
      </c>
      <c r="R36">
        <v>60</v>
      </c>
      <c r="S36">
        <v>383</v>
      </c>
      <c r="T36">
        <v>6</v>
      </c>
      <c r="U36">
        <v>1.5812337098175531</v>
      </c>
      <c r="V36">
        <v>40</v>
      </c>
    </row>
    <row r="37" spans="1:22" x14ac:dyDescent="0.3">
      <c r="A37">
        <v>36</v>
      </c>
      <c r="B37" t="s">
        <v>94</v>
      </c>
      <c r="C37" t="s">
        <v>95</v>
      </c>
      <c r="D37">
        <v>37331755</v>
      </c>
      <c r="E37" t="s">
        <v>96</v>
      </c>
      <c r="F37">
        <v>8</v>
      </c>
      <c r="G37">
        <v>1</v>
      </c>
      <c r="H37">
        <v>2</v>
      </c>
      <c r="I37">
        <v>3</v>
      </c>
      <c r="J37">
        <v>2</v>
      </c>
      <c r="K37">
        <v>4</v>
      </c>
      <c r="L37">
        <v>-1</v>
      </c>
      <c r="M37">
        <v>1</v>
      </c>
      <c r="N37">
        <v>11</v>
      </c>
      <c r="O37">
        <v>22.893000000000001</v>
      </c>
      <c r="P37">
        <v>21.335999999999999</v>
      </c>
      <c r="Q37">
        <v>1.5570000000000019</v>
      </c>
      <c r="R37">
        <v>60</v>
      </c>
      <c r="S37">
        <v>381</v>
      </c>
      <c r="T37">
        <v>25</v>
      </c>
      <c r="U37">
        <v>6.801205608701359</v>
      </c>
      <c r="V37">
        <v>18.18181818181818</v>
      </c>
    </row>
    <row r="38" spans="1:22" x14ac:dyDescent="0.3">
      <c r="A38">
        <v>37</v>
      </c>
      <c r="B38" t="s">
        <v>94</v>
      </c>
      <c r="C38" t="s">
        <v>95</v>
      </c>
      <c r="D38">
        <v>37331755</v>
      </c>
      <c r="E38" t="s">
        <v>96</v>
      </c>
      <c r="F38">
        <v>8</v>
      </c>
      <c r="G38">
        <v>1</v>
      </c>
      <c r="H38">
        <v>3</v>
      </c>
      <c r="I38">
        <v>3</v>
      </c>
      <c r="J38">
        <v>2</v>
      </c>
      <c r="K38">
        <v>4</v>
      </c>
      <c r="L38">
        <v>0</v>
      </c>
      <c r="M38">
        <v>1</v>
      </c>
      <c r="N38">
        <v>12</v>
      </c>
      <c r="O38">
        <v>21.855</v>
      </c>
      <c r="P38">
        <v>20.46</v>
      </c>
      <c r="Q38">
        <v>1.395</v>
      </c>
      <c r="R38">
        <v>60</v>
      </c>
      <c r="S38">
        <v>364</v>
      </c>
      <c r="T38">
        <v>23</v>
      </c>
      <c r="U38">
        <v>6.3829787234042534</v>
      </c>
      <c r="V38">
        <v>25</v>
      </c>
    </row>
    <row r="39" spans="1:22" x14ac:dyDescent="0.3">
      <c r="A39">
        <v>38</v>
      </c>
      <c r="B39" t="s">
        <v>94</v>
      </c>
      <c r="C39" t="s">
        <v>95</v>
      </c>
      <c r="D39">
        <v>37331755</v>
      </c>
      <c r="E39" t="s">
        <v>96</v>
      </c>
      <c r="F39">
        <v>8</v>
      </c>
      <c r="G39">
        <v>1</v>
      </c>
      <c r="H39">
        <v>3</v>
      </c>
      <c r="I39">
        <v>3</v>
      </c>
      <c r="J39">
        <v>2</v>
      </c>
      <c r="K39">
        <v>4</v>
      </c>
      <c r="L39">
        <v>0</v>
      </c>
      <c r="M39">
        <v>1</v>
      </c>
      <c r="N39">
        <v>12</v>
      </c>
      <c r="O39">
        <v>22.48</v>
      </c>
      <c r="P39">
        <v>19.739000000000001</v>
      </c>
      <c r="Q39">
        <v>2.7410000000000001</v>
      </c>
      <c r="R39">
        <v>60</v>
      </c>
      <c r="S39">
        <v>374</v>
      </c>
      <c r="T39">
        <v>45</v>
      </c>
      <c r="U39">
        <v>12.193060498220641</v>
      </c>
      <c r="V39">
        <v>25</v>
      </c>
    </row>
    <row r="40" spans="1:22" x14ac:dyDescent="0.3">
      <c r="A40">
        <v>39</v>
      </c>
      <c r="B40" t="s">
        <v>94</v>
      </c>
      <c r="C40" t="s">
        <v>97</v>
      </c>
      <c r="D40">
        <v>37382126</v>
      </c>
      <c r="E40" t="s">
        <v>104</v>
      </c>
      <c r="F40">
        <v>4</v>
      </c>
      <c r="G40">
        <v>2</v>
      </c>
      <c r="H40">
        <v>3</v>
      </c>
      <c r="I40">
        <v>3</v>
      </c>
      <c r="J40">
        <v>2</v>
      </c>
      <c r="K40">
        <v>5</v>
      </c>
      <c r="L40">
        <v>0</v>
      </c>
      <c r="M40">
        <v>1</v>
      </c>
      <c r="N40">
        <v>9</v>
      </c>
      <c r="O40">
        <v>24.75</v>
      </c>
      <c r="P40">
        <v>21.852</v>
      </c>
      <c r="Q40">
        <v>2.8980000000000001</v>
      </c>
      <c r="R40">
        <v>60</v>
      </c>
      <c r="S40">
        <v>412</v>
      </c>
      <c r="T40">
        <v>48</v>
      </c>
      <c r="U40">
        <v>11.709090909090911</v>
      </c>
      <c r="V40">
        <v>33.333333333333329</v>
      </c>
    </row>
    <row r="41" spans="1:22" x14ac:dyDescent="0.3">
      <c r="A41">
        <v>40</v>
      </c>
      <c r="B41" t="s">
        <v>94</v>
      </c>
      <c r="C41" t="s">
        <v>97</v>
      </c>
      <c r="D41">
        <v>37382126</v>
      </c>
      <c r="E41" t="s">
        <v>104</v>
      </c>
      <c r="F41">
        <v>4</v>
      </c>
      <c r="G41">
        <v>2</v>
      </c>
      <c r="H41">
        <v>3</v>
      </c>
      <c r="I41">
        <v>3</v>
      </c>
      <c r="J41">
        <v>2</v>
      </c>
      <c r="K41">
        <v>5</v>
      </c>
      <c r="L41">
        <v>0</v>
      </c>
      <c r="M41">
        <v>1</v>
      </c>
      <c r="N41">
        <v>9</v>
      </c>
      <c r="O41">
        <v>24.75</v>
      </c>
      <c r="P41">
        <v>22.643999999999998</v>
      </c>
      <c r="Q41">
        <v>2.1060000000000021</v>
      </c>
      <c r="R41">
        <v>60</v>
      </c>
      <c r="S41">
        <v>412</v>
      </c>
      <c r="T41">
        <v>35</v>
      </c>
      <c r="U41">
        <v>8.5090909090909168</v>
      </c>
      <c r="V41">
        <v>33.333333333333329</v>
      </c>
    </row>
    <row r="42" spans="1:22" x14ac:dyDescent="0.3">
      <c r="A42">
        <v>41</v>
      </c>
      <c r="B42" t="s">
        <v>94</v>
      </c>
      <c r="C42" t="s">
        <v>97</v>
      </c>
      <c r="D42">
        <v>37382126</v>
      </c>
      <c r="E42" t="s">
        <v>104</v>
      </c>
      <c r="F42">
        <v>4</v>
      </c>
      <c r="G42">
        <v>2</v>
      </c>
      <c r="H42">
        <v>3</v>
      </c>
      <c r="I42">
        <v>3</v>
      </c>
      <c r="J42">
        <v>2</v>
      </c>
      <c r="K42">
        <v>5</v>
      </c>
      <c r="L42">
        <v>0</v>
      </c>
      <c r="M42">
        <v>1</v>
      </c>
      <c r="N42">
        <v>9</v>
      </c>
      <c r="O42">
        <v>24.75</v>
      </c>
      <c r="P42">
        <v>22.332000000000001</v>
      </c>
      <c r="Q42">
        <v>2.4179999999999988</v>
      </c>
      <c r="R42">
        <v>60</v>
      </c>
      <c r="S42">
        <v>412</v>
      </c>
      <c r="T42">
        <v>40</v>
      </c>
      <c r="U42">
        <v>9.7696969696969678</v>
      </c>
      <c r="V42">
        <v>33.333333333333329</v>
      </c>
    </row>
    <row r="43" spans="1:22" x14ac:dyDescent="0.3">
      <c r="A43">
        <v>42</v>
      </c>
      <c r="B43" t="s">
        <v>94</v>
      </c>
      <c r="C43" t="s">
        <v>97</v>
      </c>
      <c r="D43">
        <v>37385059</v>
      </c>
      <c r="E43" t="s">
        <v>107</v>
      </c>
      <c r="F43">
        <v>4</v>
      </c>
      <c r="G43">
        <v>1</v>
      </c>
      <c r="H43">
        <v>3</v>
      </c>
      <c r="I43">
        <v>3</v>
      </c>
      <c r="J43">
        <v>2</v>
      </c>
      <c r="K43">
        <v>5</v>
      </c>
      <c r="L43">
        <v>0</v>
      </c>
      <c r="M43">
        <v>1</v>
      </c>
      <c r="N43">
        <v>8</v>
      </c>
      <c r="O43">
        <v>24.75</v>
      </c>
      <c r="P43">
        <v>22.106999999999999</v>
      </c>
      <c r="Q43">
        <v>2.6430000000000011</v>
      </c>
      <c r="R43">
        <v>60</v>
      </c>
      <c r="S43">
        <v>412</v>
      </c>
      <c r="T43">
        <v>44</v>
      </c>
      <c r="U43">
        <v>10.67878787878788</v>
      </c>
      <c r="V43">
        <v>37.5</v>
      </c>
    </row>
    <row r="44" spans="1:22" x14ac:dyDescent="0.3">
      <c r="A44">
        <v>43</v>
      </c>
      <c r="B44" t="s">
        <v>94</v>
      </c>
      <c r="C44" t="s">
        <v>97</v>
      </c>
      <c r="D44">
        <v>37385059</v>
      </c>
      <c r="E44" t="s">
        <v>107</v>
      </c>
      <c r="F44">
        <v>4</v>
      </c>
      <c r="G44">
        <v>1</v>
      </c>
      <c r="H44">
        <v>3</v>
      </c>
      <c r="I44">
        <v>3</v>
      </c>
      <c r="J44">
        <v>2</v>
      </c>
      <c r="K44">
        <v>5</v>
      </c>
      <c r="L44">
        <v>0</v>
      </c>
      <c r="M44">
        <v>1</v>
      </c>
      <c r="N44">
        <v>8</v>
      </c>
      <c r="O44">
        <v>23.058</v>
      </c>
      <c r="P44">
        <v>19.984000000000002</v>
      </c>
      <c r="Q44">
        <v>3.0739999999999981</v>
      </c>
      <c r="R44">
        <v>25</v>
      </c>
      <c r="S44">
        <v>922</v>
      </c>
      <c r="T44">
        <v>122</v>
      </c>
      <c r="U44">
        <v>13.331598577500211</v>
      </c>
      <c r="V44">
        <v>37.5</v>
      </c>
    </row>
    <row r="45" spans="1:22" x14ac:dyDescent="0.3">
      <c r="A45">
        <v>44</v>
      </c>
      <c r="B45" t="s">
        <v>94</v>
      </c>
      <c r="C45" t="s">
        <v>97</v>
      </c>
      <c r="D45">
        <v>37385059</v>
      </c>
      <c r="E45" t="s">
        <v>107</v>
      </c>
      <c r="F45">
        <v>4</v>
      </c>
      <c r="G45">
        <v>1</v>
      </c>
      <c r="H45">
        <v>3</v>
      </c>
      <c r="I45">
        <v>3</v>
      </c>
      <c r="J45">
        <v>2</v>
      </c>
      <c r="K45">
        <v>5</v>
      </c>
      <c r="L45">
        <v>0</v>
      </c>
      <c r="M45">
        <v>1</v>
      </c>
      <c r="N45">
        <v>8</v>
      </c>
      <c r="O45">
        <v>24.75</v>
      </c>
      <c r="P45">
        <v>22.381</v>
      </c>
      <c r="Q45">
        <v>2.3690000000000002</v>
      </c>
      <c r="R45">
        <v>25</v>
      </c>
      <c r="S45">
        <v>990</v>
      </c>
      <c r="T45">
        <v>94</v>
      </c>
      <c r="U45">
        <v>9.5717171717171716</v>
      </c>
      <c r="V45">
        <v>37.5</v>
      </c>
    </row>
    <row r="46" spans="1:22" x14ac:dyDescent="0.3">
      <c r="A46">
        <v>45</v>
      </c>
      <c r="B46" t="s">
        <v>94</v>
      </c>
      <c r="C46" t="s">
        <v>97</v>
      </c>
      <c r="D46">
        <v>37385059</v>
      </c>
      <c r="E46" t="s">
        <v>107</v>
      </c>
      <c r="F46">
        <v>4</v>
      </c>
      <c r="G46">
        <v>1</v>
      </c>
      <c r="H46">
        <v>3</v>
      </c>
      <c r="I46">
        <v>3</v>
      </c>
      <c r="J46">
        <v>2</v>
      </c>
      <c r="K46">
        <v>5</v>
      </c>
      <c r="L46">
        <v>0</v>
      </c>
      <c r="M46">
        <v>1</v>
      </c>
      <c r="N46">
        <v>8</v>
      </c>
      <c r="O46">
        <v>22.751000000000001</v>
      </c>
      <c r="P46">
        <v>20.675999999999998</v>
      </c>
      <c r="Q46">
        <v>2.0750000000000028</v>
      </c>
      <c r="R46">
        <v>25</v>
      </c>
      <c r="S46">
        <v>910</v>
      </c>
      <c r="T46">
        <v>83</v>
      </c>
      <c r="U46">
        <v>9.1204782207375619</v>
      </c>
      <c r="V46">
        <v>37.5</v>
      </c>
    </row>
    <row r="47" spans="1:22" x14ac:dyDescent="0.3">
      <c r="A47">
        <v>46</v>
      </c>
      <c r="B47" t="s">
        <v>94</v>
      </c>
      <c r="C47" t="s">
        <v>97</v>
      </c>
      <c r="D47">
        <v>37385059</v>
      </c>
      <c r="E47" t="s">
        <v>107</v>
      </c>
      <c r="F47">
        <v>4</v>
      </c>
      <c r="G47">
        <v>1</v>
      </c>
      <c r="H47">
        <v>3</v>
      </c>
      <c r="I47">
        <v>3</v>
      </c>
      <c r="J47">
        <v>2</v>
      </c>
      <c r="K47">
        <v>5</v>
      </c>
      <c r="L47">
        <v>0</v>
      </c>
      <c r="M47">
        <v>1</v>
      </c>
      <c r="N47">
        <v>8</v>
      </c>
      <c r="O47">
        <v>24.75</v>
      </c>
      <c r="P47">
        <v>22.983000000000001</v>
      </c>
      <c r="Q47">
        <v>1.766999999999999</v>
      </c>
      <c r="R47">
        <v>20</v>
      </c>
      <c r="S47">
        <v>1237</v>
      </c>
      <c r="T47">
        <v>88</v>
      </c>
      <c r="U47">
        <v>7.139393939393937</v>
      </c>
      <c r="V47">
        <v>37.5</v>
      </c>
    </row>
    <row r="48" spans="1:22" x14ac:dyDescent="0.3">
      <c r="A48">
        <v>47</v>
      </c>
      <c r="B48" t="s">
        <v>94</v>
      </c>
      <c r="C48" t="s">
        <v>97</v>
      </c>
      <c r="D48">
        <v>37407937</v>
      </c>
      <c r="E48" t="s">
        <v>102</v>
      </c>
      <c r="F48">
        <v>2</v>
      </c>
      <c r="G48">
        <v>1</v>
      </c>
      <c r="H48">
        <v>3</v>
      </c>
      <c r="I48">
        <v>3</v>
      </c>
      <c r="J48">
        <v>2</v>
      </c>
      <c r="K48">
        <v>5</v>
      </c>
      <c r="L48">
        <v>0</v>
      </c>
      <c r="M48">
        <v>1</v>
      </c>
      <c r="N48">
        <v>6</v>
      </c>
      <c r="O48">
        <v>24.75</v>
      </c>
      <c r="P48">
        <v>22.837</v>
      </c>
      <c r="Q48">
        <v>1.913</v>
      </c>
      <c r="R48">
        <v>20</v>
      </c>
      <c r="S48">
        <v>1237</v>
      </c>
      <c r="T48">
        <v>95</v>
      </c>
      <c r="U48">
        <v>7.7292929292929298</v>
      </c>
      <c r="V48">
        <v>50</v>
      </c>
    </row>
    <row r="49" spans="1:22" x14ac:dyDescent="0.3">
      <c r="A49">
        <v>48</v>
      </c>
      <c r="B49" t="s">
        <v>94</v>
      </c>
      <c r="C49" t="s">
        <v>97</v>
      </c>
      <c r="D49">
        <v>37407937</v>
      </c>
      <c r="E49" t="s">
        <v>102</v>
      </c>
      <c r="F49">
        <v>2</v>
      </c>
      <c r="G49">
        <v>1</v>
      </c>
      <c r="H49">
        <v>3</v>
      </c>
      <c r="I49">
        <v>3</v>
      </c>
      <c r="J49">
        <v>2</v>
      </c>
      <c r="K49">
        <v>5</v>
      </c>
      <c r="L49">
        <v>0</v>
      </c>
      <c r="M49">
        <v>1</v>
      </c>
      <c r="N49">
        <v>6</v>
      </c>
      <c r="O49">
        <v>20.745000000000001</v>
      </c>
      <c r="P49">
        <v>19.48</v>
      </c>
      <c r="Q49">
        <v>1.265000000000001</v>
      </c>
      <c r="R49">
        <v>20</v>
      </c>
      <c r="S49">
        <v>1037</v>
      </c>
      <c r="T49">
        <v>63</v>
      </c>
      <c r="U49">
        <v>6.0978549047963391</v>
      </c>
      <c r="V49">
        <v>50</v>
      </c>
    </row>
    <row r="50" spans="1:22" x14ac:dyDescent="0.3">
      <c r="A50">
        <v>49</v>
      </c>
      <c r="B50" t="s">
        <v>94</v>
      </c>
      <c r="C50" t="s">
        <v>97</v>
      </c>
      <c r="D50">
        <v>37452570</v>
      </c>
      <c r="E50" t="s">
        <v>108</v>
      </c>
      <c r="F50">
        <v>5</v>
      </c>
      <c r="G50">
        <v>3</v>
      </c>
      <c r="H50">
        <v>3</v>
      </c>
      <c r="I50">
        <v>3</v>
      </c>
      <c r="J50">
        <v>2</v>
      </c>
      <c r="K50">
        <v>5</v>
      </c>
      <c r="L50">
        <v>0</v>
      </c>
      <c r="M50">
        <v>1</v>
      </c>
      <c r="N50">
        <v>11</v>
      </c>
      <c r="O50">
        <v>24.75</v>
      </c>
      <c r="P50">
        <v>22.007999999999999</v>
      </c>
      <c r="Q50">
        <v>2.7420000000000009</v>
      </c>
      <c r="R50">
        <v>20</v>
      </c>
      <c r="S50">
        <v>1237</v>
      </c>
      <c r="T50">
        <v>137</v>
      </c>
      <c r="U50">
        <v>11.07878787878788</v>
      </c>
      <c r="V50">
        <v>27.27272727272727</v>
      </c>
    </row>
    <row r="51" spans="1:22" x14ac:dyDescent="0.3">
      <c r="A51">
        <v>50</v>
      </c>
      <c r="B51" t="s">
        <v>94</v>
      </c>
      <c r="C51" t="s">
        <v>97</v>
      </c>
      <c r="D51">
        <v>37452570</v>
      </c>
      <c r="E51" t="s">
        <v>108</v>
      </c>
      <c r="F51">
        <v>5</v>
      </c>
      <c r="G51">
        <v>3</v>
      </c>
      <c r="H51">
        <v>3</v>
      </c>
      <c r="I51">
        <v>3</v>
      </c>
      <c r="J51">
        <v>2</v>
      </c>
      <c r="K51">
        <v>5</v>
      </c>
      <c r="L51">
        <v>0</v>
      </c>
      <c r="M51">
        <v>1</v>
      </c>
      <c r="N51">
        <v>11</v>
      </c>
      <c r="O51">
        <v>24.75</v>
      </c>
      <c r="P51">
        <v>23.228000000000002</v>
      </c>
      <c r="Q51">
        <v>1.521999999999998</v>
      </c>
      <c r="R51">
        <v>20</v>
      </c>
      <c r="S51">
        <v>1237</v>
      </c>
      <c r="T51">
        <v>76</v>
      </c>
      <c r="U51">
        <v>6.1494949494949438</v>
      </c>
      <c r="V51">
        <v>27.27272727272727</v>
      </c>
    </row>
    <row r="52" spans="1:22" x14ac:dyDescent="0.3">
      <c r="A52">
        <v>51</v>
      </c>
      <c r="B52" t="s">
        <v>94</v>
      </c>
      <c r="C52" t="s">
        <v>97</v>
      </c>
      <c r="D52">
        <v>37452570</v>
      </c>
      <c r="E52" t="s">
        <v>108</v>
      </c>
      <c r="F52">
        <v>5</v>
      </c>
      <c r="G52">
        <v>3</v>
      </c>
      <c r="H52">
        <v>3</v>
      </c>
      <c r="I52">
        <v>3</v>
      </c>
      <c r="J52">
        <v>2</v>
      </c>
      <c r="K52">
        <v>5</v>
      </c>
      <c r="L52">
        <v>0</v>
      </c>
      <c r="M52">
        <v>1</v>
      </c>
      <c r="N52">
        <v>11</v>
      </c>
      <c r="O52">
        <v>24.75</v>
      </c>
      <c r="P52">
        <v>22.151</v>
      </c>
      <c r="Q52">
        <v>2.5990000000000002</v>
      </c>
      <c r="R52">
        <v>25</v>
      </c>
      <c r="S52">
        <v>990</v>
      </c>
      <c r="T52">
        <v>103</v>
      </c>
      <c r="U52">
        <v>10.501010101010101</v>
      </c>
      <c r="V52">
        <v>27.27272727272727</v>
      </c>
    </row>
    <row r="53" spans="1:22" x14ac:dyDescent="0.3">
      <c r="A53">
        <v>52</v>
      </c>
      <c r="B53" t="s">
        <v>94</v>
      </c>
      <c r="C53" t="s">
        <v>97</v>
      </c>
      <c r="D53">
        <v>37452570</v>
      </c>
      <c r="E53" t="s">
        <v>108</v>
      </c>
      <c r="F53">
        <v>5</v>
      </c>
      <c r="G53">
        <v>3</v>
      </c>
      <c r="H53">
        <v>3</v>
      </c>
      <c r="I53">
        <v>3</v>
      </c>
      <c r="J53">
        <v>2</v>
      </c>
      <c r="K53">
        <v>5</v>
      </c>
      <c r="L53">
        <v>0</v>
      </c>
      <c r="M53">
        <v>1</v>
      </c>
      <c r="N53">
        <v>11</v>
      </c>
      <c r="O53">
        <v>24.75</v>
      </c>
      <c r="P53">
        <v>22.983000000000001</v>
      </c>
      <c r="Q53">
        <v>1.766999999999999</v>
      </c>
      <c r="R53">
        <v>25</v>
      </c>
      <c r="S53">
        <v>990</v>
      </c>
      <c r="T53">
        <v>70</v>
      </c>
      <c r="U53">
        <v>7.139393939393937</v>
      </c>
      <c r="V53">
        <v>27.27272727272727</v>
      </c>
    </row>
    <row r="54" spans="1:22" x14ac:dyDescent="0.3">
      <c r="A54">
        <v>53</v>
      </c>
      <c r="B54" t="s">
        <v>94</v>
      </c>
      <c r="C54" t="s">
        <v>97</v>
      </c>
      <c r="D54">
        <v>37423735</v>
      </c>
      <c r="E54" t="s">
        <v>105</v>
      </c>
      <c r="F54">
        <v>4</v>
      </c>
      <c r="G54">
        <v>2</v>
      </c>
      <c r="H54">
        <v>4</v>
      </c>
      <c r="I54">
        <v>3</v>
      </c>
      <c r="J54">
        <v>2</v>
      </c>
      <c r="K54">
        <v>5</v>
      </c>
      <c r="L54">
        <v>1</v>
      </c>
      <c r="M54">
        <v>0</v>
      </c>
      <c r="N54">
        <v>10</v>
      </c>
      <c r="O54">
        <v>24.75</v>
      </c>
      <c r="P54">
        <v>23.408999999999999</v>
      </c>
      <c r="Q54">
        <v>1.3410000000000011</v>
      </c>
      <c r="R54">
        <v>50</v>
      </c>
      <c r="S54">
        <v>495</v>
      </c>
      <c r="T54">
        <v>26</v>
      </c>
      <c r="U54">
        <v>5.4181818181818224</v>
      </c>
      <c r="V54">
        <v>40</v>
      </c>
    </row>
    <row r="55" spans="1:22" x14ac:dyDescent="0.3">
      <c r="A55">
        <v>54</v>
      </c>
      <c r="B55" t="s">
        <v>94</v>
      </c>
      <c r="C55" t="s">
        <v>97</v>
      </c>
      <c r="D55">
        <v>37423735</v>
      </c>
      <c r="E55" t="s">
        <v>105</v>
      </c>
      <c r="F55">
        <v>4</v>
      </c>
      <c r="G55">
        <v>2</v>
      </c>
      <c r="H55">
        <v>4</v>
      </c>
      <c r="I55">
        <v>3</v>
      </c>
      <c r="J55">
        <v>2</v>
      </c>
      <c r="K55">
        <v>5</v>
      </c>
      <c r="L55">
        <v>1</v>
      </c>
      <c r="M55">
        <v>0</v>
      </c>
      <c r="N55">
        <v>10</v>
      </c>
      <c r="O55">
        <v>24.75</v>
      </c>
      <c r="P55">
        <v>22.213000000000001</v>
      </c>
      <c r="Q55">
        <v>2.536999999999999</v>
      </c>
      <c r="R55">
        <v>50</v>
      </c>
      <c r="S55">
        <v>495</v>
      </c>
      <c r="T55">
        <v>50</v>
      </c>
      <c r="U55">
        <v>10.250505050505049</v>
      </c>
      <c r="V55">
        <v>40</v>
      </c>
    </row>
    <row r="56" spans="1:22" x14ac:dyDescent="0.3">
      <c r="A56">
        <v>55</v>
      </c>
      <c r="B56" t="s">
        <v>94</v>
      </c>
      <c r="C56" t="s">
        <v>97</v>
      </c>
      <c r="D56">
        <v>37424132</v>
      </c>
      <c r="E56" t="s">
        <v>107</v>
      </c>
      <c r="F56">
        <v>4</v>
      </c>
      <c r="G56">
        <v>0</v>
      </c>
      <c r="H56">
        <v>3</v>
      </c>
      <c r="I56">
        <v>3</v>
      </c>
      <c r="J56">
        <v>2</v>
      </c>
      <c r="K56">
        <v>5</v>
      </c>
      <c r="L56">
        <v>0</v>
      </c>
      <c r="M56">
        <v>1</v>
      </c>
      <c r="N56">
        <v>7</v>
      </c>
      <c r="O56">
        <v>24.75</v>
      </c>
      <c r="P56">
        <v>23.344000000000001</v>
      </c>
      <c r="Q56">
        <v>1.405999999999999</v>
      </c>
      <c r="R56">
        <v>50</v>
      </c>
      <c r="S56">
        <v>495</v>
      </c>
      <c r="T56">
        <v>28</v>
      </c>
      <c r="U56">
        <v>5.6808080808080756</v>
      </c>
      <c r="V56">
        <v>42.857142857142847</v>
      </c>
    </row>
    <row r="57" spans="1:22" x14ac:dyDescent="0.3">
      <c r="A57">
        <v>56</v>
      </c>
      <c r="B57" t="s">
        <v>94</v>
      </c>
      <c r="C57" t="s">
        <v>97</v>
      </c>
      <c r="D57">
        <v>37424132</v>
      </c>
      <c r="E57" t="s">
        <v>107</v>
      </c>
      <c r="F57">
        <v>4</v>
      </c>
      <c r="G57">
        <v>0</v>
      </c>
      <c r="H57">
        <v>3</v>
      </c>
      <c r="I57">
        <v>3</v>
      </c>
      <c r="J57">
        <v>2</v>
      </c>
      <c r="K57">
        <v>5</v>
      </c>
      <c r="L57">
        <v>0</v>
      </c>
      <c r="M57">
        <v>1</v>
      </c>
      <c r="N57">
        <v>7</v>
      </c>
      <c r="O57">
        <v>24.75</v>
      </c>
      <c r="P57">
        <v>22.672999999999998</v>
      </c>
      <c r="Q57">
        <v>2.0770000000000022</v>
      </c>
      <c r="R57">
        <v>50</v>
      </c>
      <c r="S57">
        <v>495</v>
      </c>
      <c r="T57">
        <v>41</v>
      </c>
      <c r="U57">
        <v>8.3919191919191984</v>
      </c>
      <c r="V57">
        <v>42.857142857142847</v>
      </c>
    </row>
    <row r="58" spans="1:22" x14ac:dyDescent="0.3">
      <c r="A58">
        <v>57</v>
      </c>
      <c r="B58" t="s">
        <v>94</v>
      </c>
      <c r="C58" t="s">
        <v>97</v>
      </c>
      <c r="D58">
        <v>37424132</v>
      </c>
      <c r="E58" t="s">
        <v>107</v>
      </c>
      <c r="F58">
        <v>4</v>
      </c>
      <c r="G58">
        <v>0</v>
      </c>
      <c r="H58">
        <v>3</v>
      </c>
      <c r="I58">
        <v>3</v>
      </c>
      <c r="J58">
        <v>2</v>
      </c>
      <c r="K58">
        <v>5</v>
      </c>
      <c r="L58">
        <v>0</v>
      </c>
      <c r="M58">
        <v>1</v>
      </c>
      <c r="N58">
        <v>7</v>
      </c>
      <c r="O58">
        <v>24.75</v>
      </c>
      <c r="P58">
        <v>21.972999999999999</v>
      </c>
      <c r="Q58">
        <v>2.777000000000001</v>
      </c>
      <c r="R58">
        <v>25</v>
      </c>
      <c r="S58">
        <v>990</v>
      </c>
      <c r="T58">
        <v>111</v>
      </c>
      <c r="U58">
        <v>11.220202020202031</v>
      </c>
      <c r="V58">
        <v>42.857142857142847</v>
      </c>
    </row>
    <row r="59" spans="1:22" x14ac:dyDescent="0.3">
      <c r="A59">
        <v>58</v>
      </c>
      <c r="B59" t="s">
        <v>94</v>
      </c>
      <c r="C59" t="s">
        <v>97</v>
      </c>
      <c r="D59">
        <v>37433730</v>
      </c>
      <c r="E59" t="s">
        <v>104</v>
      </c>
      <c r="F59">
        <v>3</v>
      </c>
      <c r="G59">
        <v>2</v>
      </c>
      <c r="H59">
        <v>2</v>
      </c>
      <c r="I59">
        <v>3</v>
      </c>
      <c r="J59">
        <v>2</v>
      </c>
      <c r="K59">
        <v>5</v>
      </c>
      <c r="L59">
        <v>-1</v>
      </c>
      <c r="M59">
        <v>1</v>
      </c>
      <c r="N59">
        <v>7</v>
      </c>
      <c r="O59">
        <v>24.75</v>
      </c>
      <c r="P59">
        <v>23.384</v>
      </c>
      <c r="Q59">
        <v>1.3660000000000001</v>
      </c>
      <c r="R59">
        <v>25</v>
      </c>
      <c r="S59">
        <v>990</v>
      </c>
      <c r="T59">
        <v>54</v>
      </c>
      <c r="U59">
        <v>5.5191919191919183</v>
      </c>
      <c r="V59">
        <v>28.571428571428569</v>
      </c>
    </row>
    <row r="60" spans="1:22" x14ac:dyDescent="0.3">
      <c r="A60">
        <v>59</v>
      </c>
      <c r="B60" t="s">
        <v>94</v>
      </c>
      <c r="C60" t="s">
        <v>97</v>
      </c>
      <c r="D60">
        <v>37433730</v>
      </c>
      <c r="E60" t="s">
        <v>104</v>
      </c>
      <c r="F60">
        <v>3</v>
      </c>
      <c r="G60">
        <v>2</v>
      </c>
      <c r="H60">
        <v>2</v>
      </c>
      <c r="I60">
        <v>3</v>
      </c>
      <c r="J60">
        <v>2</v>
      </c>
      <c r="K60">
        <v>5</v>
      </c>
      <c r="L60">
        <v>-1</v>
      </c>
      <c r="M60">
        <v>1</v>
      </c>
      <c r="N60">
        <v>7</v>
      </c>
      <c r="O60">
        <v>24.75</v>
      </c>
      <c r="P60">
        <v>22.306999999999999</v>
      </c>
      <c r="Q60">
        <v>2.4430000000000009</v>
      </c>
      <c r="R60">
        <v>20</v>
      </c>
      <c r="S60">
        <v>1237</v>
      </c>
      <c r="T60">
        <v>122</v>
      </c>
      <c r="U60">
        <v>9.8707070707070752</v>
      </c>
      <c r="V60">
        <v>28.571428571428569</v>
      </c>
    </row>
    <row r="61" spans="1:22" x14ac:dyDescent="0.3">
      <c r="A61">
        <v>60</v>
      </c>
      <c r="B61" t="s">
        <v>94</v>
      </c>
      <c r="C61" t="s">
        <v>97</v>
      </c>
      <c r="D61">
        <v>37433730</v>
      </c>
      <c r="E61" t="s">
        <v>104</v>
      </c>
      <c r="F61">
        <v>3</v>
      </c>
      <c r="G61">
        <v>2</v>
      </c>
      <c r="H61">
        <v>2</v>
      </c>
      <c r="I61">
        <v>3</v>
      </c>
      <c r="J61">
        <v>2</v>
      </c>
      <c r="K61">
        <v>5</v>
      </c>
      <c r="L61">
        <v>-1</v>
      </c>
      <c r="M61">
        <v>1</v>
      </c>
      <c r="N61">
        <v>7</v>
      </c>
      <c r="O61">
        <v>24.75</v>
      </c>
      <c r="P61">
        <v>22.646000000000001</v>
      </c>
      <c r="Q61">
        <v>2.1039999999999992</v>
      </c>
      <c r="R61">
        <v>20</v>
      </c>
      <c r="S61">
        <v>1237</v>
      </c>
      <c r="T61">
        <v>105</v>
      </c>
      <c r="U61">
        <v>8.5010101010100989</v>
      </c>
      <c r="V61">
        <v>28.571428571428569</v>
      </c>
    </row>
    <row r="62" spans="1:22" x14ac:dyDescent="0.3">
      <c r="A62">
        <v>61</v>
      </c>
      <c r="B62" t="s">
        <v>94</v>
      </c>
      <c r="C62" t="s">
        <v>97</v>
      </c>
      <c r="D62">
        <v>37433730</v>
      </c>
      <c r="E62" t="s">
        <v>104</v>
      </c>
      <c r="F62">
        <v>3</v>
      </c>
      <c r="G62">
        <v>2</v>
      </c>
      <c r="H62">
        <v>4</v>
      </c>
      <c r="I62">
        <v>3</v>
      </c>
      <c r="J62">
        <v>2</v>
      </c>
      <c r="K62">
        <v>5</v>
      </c>
      <c r="L62">
        <v>1</v>
      </c>
      <c r="M62">
        <v>0</v>
      </c>
      <c r="N62">
        <v>9</v>
      </c>
      <c r="O62">
        <v>24.75</v>
      </c>
      <c r="P62">
        <v>21.341999999999999</v>
      </c>
      <c r="Q62">
        <v>3.4080000000000008</v>
      </c>
      <c r="R62">
        <v>20</v>
      </c>
      <c r="S62">
        <v>1237</v>
      </c>
      <c r="T62">
        <v>170</v>
      </c>
      <c r="U62">
        <v>13.76969696969697</v>
      </c>
      <c r="V62">
        <v>44.444444444444443</v>
      </c>
    </row>
    <row r="63" spans="1:22" x14ac:dyDescent="0.3">
      <c r="A63">
        <v>62</v>
      </c>
      <c r="B63" t="s">
        <v>94</v>
      </c>
      <c r="C63" t="s">
        <v>97</v>
      </c>
      <c r="D63">
        <v>37449524</v>
      </c>
      <c r="E63" t="s">
        <v>102</v>
      </c>
      <c r="F63">
        <v>3</v>
      </c>
      <c r="G63">
        <v>1</v>
      </c>
      <c r="H63">
        <v>4</v>
      </c>
      <c r="I63">
        <v>3</v>
      </c>
      <c r="J63">
        <v>2</v>
      </c>
      <c r="K63">
        <v>5</v>
      </c>
      <c r="L63">
        <v>1</v>
      </c>
      <c r="M63">
        <v>0</v>
      </c>
      <c r="N63">
        <v>8</v>
      </c>
      <c r="O63">
        <v>24.75</v>
      </c>
      <c r="P63">
        <v>22.818999999999999</v>
      </c>
      <c r="Q63">
        <v>1.9310000000000009</v>
      </c>
      <c r="R63">
        <v>25</v>
      </c>
      <c r="S63">
        <v>990</v>
      </c>
      <c r="T63">
        <v>77</v>
      </c>
      <c r="U63">
        <v>7.8020202020202056</v>
      </c>
      <c r="V63">
        <v>50</v>
      </c>
    </row>
    <row r="64" spans="1:22" x14ac:dyDescent="0.3">
      <c r="A64">
        <v>63</v>
      </c>
      <c r="B64" t="s">
        <v>94</v>
      </c>
      <c r="C64" t="s">
        <v>97</v>
      </c>
      <c r="D64">
        <v>37449524</v>
      </c>
      <c r="E64" t="s">
        <v>102</v>
      </c>
      <c r="F64">
        <v>3</v>
      </c>
      <c r="G64">
        <v>1</v>
      </c>
      <c r="H64">
        <v>5</v>
      </c>
      <c r="I64">
        <v>3</v>
      </c>
      <c r="J64">
        <v>2</v>
      </c>
      <c r="K64">
        <v>5</v>
      </c>
      <c r="L64">
        <v>2</v>
      </c>
      <c r="M64">
        <v>0</v>
      </c>
      <c r="N64">
        <v>9</v>
      </c>
      <c r="O64">
        <v>24.228999999999999</v>
      </c>
      <c r="P64">
        <v>21.574000000000002</v>
      </c>
      <c r="Q64">
        <v>2.654999999999998</v>
      </c>
      <c r="R64">
        <v>25</v>
      </c>
      <c r="S64">
        <v>969</v>
      </c>
      <c r="T64">
        <v>106</v>
      </c>
      <c r="U64">
        <v>10.9579429609146</v>
      </c>
      <c r="V64">
        <v>55.555555555555557</v>
      </c>
    </row>
    <row r="65" spans="1:22" x14ac:dyDescent="0.3">
      <c r="A65">
        <v>64</v>
      </c>
      <c r="B65" t="s">
        <v>94</v>
      </c>
      <c r="C65" t="s">
        <v>97</v>
      </c>
      <c r="D65">
        <v>37503283</v>
      </c>
      <c r="E65" t="s">
        <v>107</v>
      </c>
      <c r="F65">
        <v>5</v>
      </c>
      <c r="G65">
        <v>2</v>
      </c>
      <c r="H65">
        <v>4</v>
      </c>
      <c r="I65">
        <v>3</v>
      </c>
      <c r="J65">
        <v>2</v>
      </c>
      <c r="K65">
        <v>5</v>
      </c>
      <c r="L65">
        <v>1</v>
      </c>
      <c r="M65">
        <v>0</v>
      </c>
      <c r="N65">
        <v>11</v>
      </c>
      <c r="O65">
        <v>24.75</v>
      </c>
      <c r="P65">
        <v>22.404</v>
      </c>
      <c r="Q65">
        <v>2.3460000000000001</v>
      </c>
      <c r="R65">
        <v>25</v>
      </c>
      <c r="S65">
        <v>990</v>
      </c>
      <c r="T65">
        <v>93</v>
      </c>
      <c r="U65">
        <v>9.4787878787878803</v>
      </c>
      <c r="V65">
        <v>36.363636363636367</v>
      </c>
    </row>
    <row r="66" spans="1:22" x14ac:dyDescent="0.3">
      <c r="A66">
        <v>65</v>
      </c>
      <c r="B66" t="s">
        <v>94</v>
      </c>
      <c r="C66" t="s">
        <v>97</v>
      </c>
      <c r="D66">
        <v>37503283</v>
      </c>
      <c r="E66" t="s">
        <v>107</v>
      </c>
      <c r="F66">
        <v>5</v>
      </c>
      <c r="G66">
        <v>2</v>
      </c>
      <c r="H66">
        <v>5</v>
      </c>
      <c r="I66">
        <v>3</v>
      </c>
      <c r="J66">
        <v>2</v>
      </c>
      <c r="K66">
        <v>5</v>
      </c>
      <c r="L66">
        <v>2</v>
      </c>
      <c r="M66">
        <v>0</v>
      </c>
      <c r="N66">
        <v>12</v>
      </c>
      <c r="O66">
        <v>22.716000000000001</v>
      </c>
      <c r="P66">
        <v>20.832999999999998</v>
      </c>
      <c r="Q66">
        <v>1.8830000000000029</v>
      </c>
      <c r="R66">
        <v>25</v>
      </c>
      <c r="S66">
        <v>908</v>
      </c>
      <c r="T66">
        <v>75</v>
      </c>
      <c r="U66">
        <v>8.2893114985032685</v>
      </c>
      <c r="V66">
        <v>41.666666666666671</v>
      </c>
    </row>
    <row r="67" spans="1:22" x14ac:dyDescent="0.3">
      <c r="A67">
        <v>66</v>
      </c>
      <c r="B67" t="s">
        <v>94</v>
      </c>
      <c r="C67" t="s">
        <v>97</v>
      </c>
      <c r="D67">
        <v>37497761</v>
      </c>
      <c r="E67" t="s">
        <v>103</v>
      </c>
      <c r="F67">
        <v>4</v>
      </c>
      <c r="G67">
        <v>0</v>
      </c>
      <c r="H67">
        <v>5</v>
      </c>
      <c r="I67">
        <v>3</v>
      </c>
      <c r="J67">
        <v>2</v>
      </c>
      <c r="K67">
        <v>5</v>
      </c>
      <c r="L67">
        <v>2</v>
      </c>
      <c r="M67">
        <v>0</v>
      </c>
      <c r="N67">
        <v>9</v>
      </c>
      <c r="O67">
        <v>24.75</v>
      </c>
      <c r="P67">
        <v>22.748000000000001</v>
      </c>
      <c r="Q67">
        <v>2.0019999999999989</v>
      </c>
      <c r="R67">
        <v>25</v>
      </c>
      <c r="S67">
        <v>990</v>
      </c>
      <c r="T67">
        <v>80</v>
      </c>
      <c r="U67">
        <v>8.088888888888885</v>
      </c>
      <c r="V67">
        <v>55.555555555555557</v>
      </c>
    </row>
    <row r="68" spans="1:22" x14ac:dyDescent="0.3">
      <c r="A68">
        <v>67</v>
      </c>
      <c r="B68" t="s">
        <v>94</v>
      </c>
      <c r="C68" t="s">
        <v>97</v>
      </c>
      <c r="D68">
        <v>37497761</v>
      </c>
      <c r="E68" t="s">
        <v>103</v>
      </c>
      <c r="F68">
        <v>4</v>
      </c>
      <c r="G68">
        <v>0</v>
      </c>
      <c r="H68">
        <v>2</v>
      </c>
      <c r="I68">
        <v>3</v>
      </c>
      <c r="J68">
        <v>2</v>
      </c>
      <c r="K68">
        <v>5</v>
      </c>
      <c r="L68">
        <v>-1</v>
      </c>
      <c r="M68">
        <v>1</v>
      </c>
      <c r="N68">
        <v>6</v>
      </c>
      <c r="O68">
        <v>24.75</v>
      </c>
      <c r="P68">
        <v>22.768000000000001</v>
      </c>
      <c r="Q68">
        <v>1.9819999999999991</v>
      </c>
      <c r="R68">
        <v>25</v>
      </c>
      <c r="S68">
        <v>990</v>
      </c>
      <c r="T68">
        <v>79</v>
      </c>
      <c r="U68">
        <v>8.0080808080808055</v>
      </c>
      <c r="V68">
        <v>33.333333333333329</v>
      </c>
    </row>
    <row r="69" spans="1:22" x14ac:dyDescent="0.3">
      <c r="A69">
        <v>68</v>
      </c>
      <c r="B69" t="s">
        <v>94</v>
      </c>
      <c r="C69" t="s">
        <v>97</v>
      </c>
      <c r="D69">
        <v>37497761</v>
      </c>
      <c r="E69" t="s">
        <v>103</v>
      </c>
      <c r="F69">
        <v>4</v>
      </c>
      <c r="G69">
        <v>0</v>
      </c>
      <c r="H69">
        <v>4</v>
      </c>
      <c r="I69">
        <v>3</v>
      </c>
      <c r="J69">
        <v>2</v>
      </c>
      <c r="K69">
        <v>5</v>
      </c>
      <c r="L69">
        <v>1</v>
      </c>
      <c r="M69">
        <v>0</v>
      </c>
      <c r="N69">
        <v>8</v>
      </c>
      <c r="O69">
        <v>24.75</v>
      </c>
      <c r="P69">
        <v>23.302</v>
      </c>
      <c r="Q69">
        <v>1.448</v>
      </c>
      <c r="R69">
        <v>20</v>
      </c>
      <c r="S69">
        <v>1237</v>
      </c>
      <c r="T69">
        <v>72</v>
      </c>
      <c r="U69">
        <v>5.8505050505050518</v>
      </c>
      <c r="V69">
        <v>50</v>
      </c>
    </row>
    <row r="70" spans="1:22" x14ac:dyDescent="0.3">
      <c r="A70">
        <v>69</v>
      </c>
      <c r="B70" t="s">
        <v>94</v>
      </c>
      <c r="C70" t="s">
        <v>97</v>
      </c>
      <c r="D70">
        <v>37512224</v>
      </c>
      <c r="E70" t="s">
        <v>107</v>
      </c>
      <c r="F70">
        <v>4</v>
      </c>
      <c r="G70">
        <v>1</v>
      </c>
      <c r="H70">
        <v>2</v>
      </c>
      <c r="I70">
        <v>3</v>
      </c>
      <c r="J70">
        <v>2</v>
      </c>
      <c r="K70">
        <v>5</v>
      </c>
      <c r="L70">
        <v>-1</v>
      </c>
      <c r="M70">
        <v>1</v>
      </c>
      <c r="N70">
        <v>7</v>
      </c>
      <c r="O70">
        <v>24.75</v>
      </c>
      <c r="P70">
        <v>21.925999999999998</v>
      </c>
      <c r="Q70">
        <v>2.8240000000000021</v>
      </c>
      <c r="R70">
        <v>20</v>
      </c>
      <c r="S70">
        <v>1237</v>
      </c>
      <c r="T70">
        <v>141</v>
      </c>
      <c r="U70">
        <v>11.41010101010102</v>
      </c>
      <c r="V70">
        <v>28.571428571428569</v>
      </c>
    </row>
    <row r="71" spans="1:22" x14ac:dyDescent="0.3">
      <c r="A71">
        <v>70</v>
      </c>
      <c r="B71" t="s">
        <v>94</v>
      </c>
      <c r="C71" t="s">
        <v>97</v>
      </c>
      <c r="D71">
        <v>37512224</v>
      </c>
      <c r="E71" t="s">
        <v>107</v>
      </c>
      <c r="F71">
        <v>4</v>
      </c>
      <c r="G71">
        <v>1</v>
      </c>
      <c r="H71">
        <v>2</v>
      </c>
      <c r="I71">
        <v>3</v>
      </c>
      <c r="J71">
        <v>2</v>
      </c>
      <c r="K71">
        <v>5</v>
      </c>
      <c r="L71">
        <v>-1</v>
      </c>
      <c r="M71">
        <v>1</v>
      </c>
      <c r="N71">
        <v>7</v>
      </c>
      <c r="O71">
        <v>24.75</v>
      </c>
      <c r="P71">
        <v>23.119</v>
      </c>
      <c r="Q71">
        <v>1.631</v>
      </c>
      <c r="R71">
        <v>50</v>
      </c>
      <c r="S71">
        <v>495</v>
      </c>
      <c r="T71">
        <v>32</v>
      </c>
      <c r="U71">
        <v>6.5898989898989901</v>
      </c>
      <c r="V71">
        <v>28.571428571428569</v>
      </c>
    </row>
    <row r="72" spans="1:22" x14ac:dyDescent="0.3">
      <c r="A72">
        <v>71</v>
      </c>
      <c r="B72" t="s">
        <v>94</v>
      </c>
      <c r="C72" t="s">
        <v>95</v>
      </c>
      <c r="D72">
        <v>37636356</v>
      </c>
      <c r="E72" t="s">
        <v>104</v>
      </c>
      <c r="F72">
        <v>2</v>
      </c>
      <c r="G72">
        <v>6</v>
      </c>
      <c r="H72">
        <v>3</v>
      </c>
      <c r="I72">
        <v>3</v>
      </c>
      <c r="J72">
        <v>2</v>
      </c>
      <c r="K72">
        <v>4</v>
      </c>
      <c r="L72">
        <v>0</v>
      </c>
      <c r="M72">
        <v>1</v>
      </c>
      <c r="N72">
        <v>11</v>
      </c>
      <c r="O72">
        <v>23.498000000000001</v>
      </c>
      <c r="P72">
        <v>21.494</v>
      </c>
      <c r="Q72">
        <v>2.0040000000000009</v>
      </c>
      <c r="R72">
        <v>50</v>
      </c>
      <c r="S72">
        <v>469</v>
      </c>
      <c r="T72">
        <v>40</v>
      </c>
      <c r="U72">
        <v>8.5283853945016652</v>
      </c>
      <c r="V72">
        <v>27.27272727272727</v>
      </c>
    </row>
    <row r="73" spans="1:22" x14ac:dyDescent="0.3">
      <c r="A73">
        <v>72</v>
      </c>
      <c r="B73" t="s">
        <v>94</v>
      </c>
      <c r="C73" t="s">
        <v>95</v>
      </c>
      <c r="D73">
        <v>37636356</v>
      </c>
      <c r="E73" t="s">
        <v>104</v>
      </c>
      <c r="F73">
        <v>2</v>
      </c>
      <c r="G73">
        <v>6</v>
      </c>
      <c r="H73">
        <v>3</v>
      </c>
      <c r="I73">
        <v>3</v>
      </c>
      <c r="J73">
        <v>2</v>
      </c>
      <c r="K73">
        <v>4</v>
      </c>
      <c r="L73">
        <v>0</v>
      </c>
      <c r="M73">
        <v>1</v>
      </c>
      <c r="N73">
        <v>11</v>
      </c>
      <c r="O73">
        <v>24.75</v>
      </c>
      <c r="P73">
        <v>21.78</v>
      </c>
      <c r="Q73">
        <v>2.9699999999999989</v>
      </c>
      <c r="R73">
        <v>50</v>
      </c>
      <c r="S73">
        <v>495</v>
      </c>
      <c r="T73">
        <v>59</v>
      </c>
      <c r="U73">
        <v>11.999999999999989</v>
      </c>
      <c r="V73">
        <v>27.27272727272727</v>
      </c>
    </row>
    <row r="74" spans="1:22" x14ac:dyDescent="0.3">
      <c r="A74">
        <v>73</v>
      </c>
      <c r="B74" t="s">
        <v>94</v>
      </c>
      <c r="C74" t="s">
        <v>97</v>
      </c>
      <c r="D74">
        <v>37640067</v>
      </c>
      <c r="E74" t="s">
        <v>104</v>
      </c>
      <c r="F74">
        <v>2</v>
      </c>
      <c r="G74">
        <v>9</v>
      </c>
      <c r="H74">
        <v>4</v>
      </c>
      <c r="I74">
        <v>3</v>
      </c>
      <c r="J74">
        <v>2</v>
      </c>
      <c r="K74">
        <v>5</v>
      </c>
      <c r="L74">
        <v>1</v>
      </c>
      <c r="M74">
        <v>0</v>
      </c>
      <c r="N74">
        <v>15</v>
      </c>
      <c r="O74">
        <v>24.75</v>
      </c>
      <c r="P74">
        <v>23.379000000000001</v>
      </c>
      <c r="Q74">
        <v>1.3709999999999991</v>
      </c>
      <c r="R74">
        <v>20</v>
      </c>
      <c r="S74">
        <v>1237</v>
      </c>
      <c r="T74">
        <v>68</v>
      </c>
      <c r="U74">
        <v>5.5393939393939347</v>
      </c>
      <c r="V74">
        <v>26.666666666666671</v>
      </c>
    </row>
    <row r="75" spans="1:22" x14ac:dyDescent="0.3">
      <c r="A75">
        <v>74</v>
      </c>
      <c r="B75" t="s">
        <v>94</v>
      </c>
      <c r="C75" t="s">
        <v>97</v>
      </c>
      <c r="D75">
        <v>37640067</v>
      </c>
      <c r="E75" t="s">
        <v>104</v>
      </c>
      <c r="F75">
        <v>2</v>
      </c>
      <c r="G75">
        <v>9</v>
      </c>
      <c r="H75">
        <v>2</v>
      </c>
      <c r="I75">
        <v>3</v>
      </c>
      <c r="J75">
        <v>2</v>
      </c>
      <c r="K75">
        <v>5</v>
      </c>
      <c r="L75">
        <v>-1</v>
      </c>
      <c r="M75">
        <v>1</v>
      </c>
      <c r="N75">
        <v>13</v>
      </c>
      <c r="O75">
        <v>24.75</v>
      </c>
      <c r="P75">
        <v>23.196000000000002</v>
      </c>
      <c r="Q75">
        <v>1.553999999999998</v>
      </c>
      <c r="R75">
        <v>20</v>
      </c>
      <c r="S75">
        <v>1237</v>
      </c>
      <c r="T75">
        <v>77</v>
      </c>
      <c r="U75">
        <v>6.2787878787878721</v>
      </c>
      <c r="V75">
        <v>15.38461538461539</v>
      </c>
    </row>
    <row r="76" spans="1:22" x14ac:dyDescent="0.3">
      <c r="A76">
        <v>75</v>
      </c>
      <c r="B76" t="s">
        <v>94</v>
      </c>
      <c r="C76" t="s">
        <v>97</v>
      </c>
      <c r="D76">
        <v>37640067</v>
      </c>
      <c r="E76" t="s">
        <v>104</v>
      </c>
      <c r="F76">
        <v>2</v>
      </c>
      <c r="G76">
        <v>9</v>
      </c>
      <c r="H76">
        <v>2</v>
      </c>
      <c r="I76">
        <v>3</v>
      </c>
      <c r="J76">
        <v>2</v>
      </c>
      <c r="K76">
        <v>5</v>
      </c>
      <c r="L76">
        <v>-1</v>
      </c>
      <c r="M76">
        <v>1</v>
      </c>
      <c r="N76">
        <v>13</v>
      </c>
      <c r="O76">
        <v>24.75</v>
      </c>
      <c r="P76">
        <v>23.131</v>
      </c>
      <c r="Q76">
        <v>1.619</v>
      </c>
      <c r="R76">
        <v>25</v>
      </c>
      <c r="S76">
        <v>990</v>
      </c>
      <c r="T76">
        <v>64</v>
      </c>
      <c r="U76">
        <v>6.5414141414141413</v>
      </c>
      <c r="V76">
        <v>15.38461538461539</v>
      </c>
    </row>
    <row r="77" spans="1:22" x14ac:dyDescent="0.3">
      <c r="A77">
        <v>76</v>
      </c>
      <c r="B77" t="s">
        <v>94</v>
      </c>
      <c r="C77" t="s">
        <v>97</v>
      </c>
      <c r="D77">
        <v>37644845</v>
      </c>
      <c r="E77" t="s">
        <v>96</v>
      </c>
      <c r="F77">
        <v>3</v>
      </c>
      <c r="G77">
        <v>4</v>
      </c>
      <c r="H77">
        <v>3</v>
      </c>
      <c r="I77">
        <v>3</v>
      </c>
      <c r="J77">
        <v>2</v>
      </c>
      <c r="K77">
        <v>5</v>
      </c>
      <c r="L77">
        <v>0</v>
      </c>
      <c r="M77">
        <v>1</v>
      </c>
      <c r="N77">
        <v>10</v>
      </c>
      <c r="O77">
        <v>24.75</v>
      </c>
      <c r="P77">
        <v>22.844000000000001</v>
      </c>
      <c r="Q77">
        <v>1.905999999999999</v>
      </c>
      <c r="R77">
        <v>25</v>
      </c>
      <c r="S77">
        <v>990</v>
      </c>
      <c r="T77">
        <v>76</v>
      </c>
      <c r="U77">
        <v>7.7010101010100964</v>
      </c>
      <c r="V77">
        <v>30</v>
      </c>
    </row>
    <row r="78" spans="1:22" x14ac:dyDescent="0.3">
      <c r="A78">
        <v>77</v>
      </c>
      <c r="B78" t="s">
        <v>94</v>
      </c>
      <c r="C78" t="s">
        <v>97</v>
      </c>
      <c r="D78">
        <v>37644845</v>
      </c>
      <c r="E78" t="s">
        <v>96</v>
      </c>
      <c r="F78">
        <v>3</v>
      </c>
      <c r="G78">
        <v>4</v>
      </c>
      <c r="H78">
        <v>3</v>
      </c>
      <c r="I78">
        <v>3</v>
      </c>
      <c r="J78">
        <v>2</v>
      </c>
      <c r="K78">
        <v>5</v>
      </c>
      <c r="L78">
        <v>0</v>
      </c>
      <c r="M78">
        <v>1</v>
      </c>
      <c r="N78">
        <v>10</v>
      </c>
      <c r="O78">
        <v>24.75</v>
      </c>
      <c r="P78">
        <v>22.218</v>
      </c>
      <c r="Q78">
        <v>2.532</v>
      </c>
      <c r="R78">
        <v>25</v>
      </c>
      <c r="S78">
        <v>990</v>
      </c>
      <c r="T78">
        <v>101</v>
      </c>
      <c r="U78">
        <v>10.23030303030303</v>
      </c>
      <c r="V78">
        <v>30</v>
      </c>
    </row>
    <row r="79" spans="1:22" x14ac:dyDescent="0.3">
      <c r="A79">
        <v>78</v>
      </c>
      <c r="B79" t="s">
        <v>94</v>
      </c>
      <c r="C79" t="s">
        <v>97</v>
      </c>
      <c r="D79">
        <v>37644845</v>
      </c>
      <c r="E79" t="s">
        <v>96</v>
      </c>
      <c r="F79">
        <v>3</v>
      </c>
      <c r="G79">
        <v>4</v>
      </c>
      <c r="H79">
        <v>3</v>
      </c>
      <c r="I79">
        <v>3</v>
      </c>
      <c r="J79">
        <v>2</v>
      </c>
      <c r="K79">
        <v>5</v>
      </c>
      <c r="L79">
        <v>0</v>
      </c>
      <c r="M79">
        <v>1</v>
      </c>
      <c r="N79">
        <v>10</v>
      </c>
      <c r="O79">
        <v>24.75</v>
      </c>
      <c r="P79">
        <v>22.879000000000001</v>
      </c>
      <c r="Q79">
        <v>1.8709999999999991</v>
      </c>
      <c r="R79">
        <v>25</v>
      </c>
      <c r="S79">
        <v>990</v>
      </c>
      <c r="T79">
        <v>74</v>
      </c>
      <c r="U79">
        <v>7.5595959595959537</v>
      </c>
      <c r="V79">
        <v>30</v>
      </c>
    </row>
    <row r="80" spans="1:22" x14ac:dyDescent="0.3">
      <c r="A80">
        <v>79</v>
      </c>
      <c r="B80" t="s">
        <v>94</v>
      </c>
      <c r="C80" t="s">
        <v>95</v>
      </c>
      <c r="D80">
        <v>37674292</v>
      </c>
      <c r="E80" t="s">
        <v>96</v>
      </c>
      <c r="F80">
        <v>15</v>
      </c>
      <c r="G80">
        <v>9</v>
      </c>
      <c r="H80">
        <v>2</v>
      </c>
      <c r="I80">
        <v>3</v>
      </c>
      <c r="J80">
        <v>2</v>
      </c>
      <c r="K80">
        <v>4</v>
      </c>
      <c r="L80">
        <v>-1</v>
      </c>
      <c r="M80">
        <v>1</v>
      </c>
      <c r="N80">
        <v>26</v>
      </c>
      <c r="O80">
        <v>24.75</v>
      </c>
      <c r="P80">
        <v>22.884</v>
      </c>
      <c r="Q80">
        <v>1.8660000000000001</v>
      </c>
      <c r="R80">
        <v>25</v>
      </c>
      <c r="S80">
        <v>990</v>
      </c>
      <c r="T80">
        <v>74</v>
      </c>
      <c r="U80">
        <v>7.5393939393939373</v>
      </c>
      <c r="V80">
        <v>7.6923076923076934</v>
      </c>
    </row>
    <row r="81" spans="1:22" x14ac:dyDescent="0.3">
      <c r="A81">
        <v>80</v>
      </c>
      <c r="B81" t="s">
        <v>94</v>
      </c>
      <c r="C81" t="s">
        <v>95</v>
      </c>
      <c r="D81">
        <v>37676068</v>
      </c>
      <c r="E81" t="s">
        <v>96</v>
      </c>
      <c r="F81">
        <v>15</v>
      </c>
      <c r="G81">
        <v>8</v>
      </c>
      <c r="H81">
        <v>1</v>
      </c>
      <c r="I81">
        <v>3</v>
      </c>
      <c r="J81">
        <v>2</v>
      </c>
      <c r="K81">
        <v>4</v>
      </c>
      <c r="L81">
        <v>-2</v>
      </c>
      <c r="M81">
        <v>1</v>
      </c>
      <c r="N81">
        <v>24</v>
      </c>
      <c r="O81">
        <v>24.75</v>
      </c>
      <c r="P81">
        <v>22.721</v>
      </c>
      <c r="Q81">
        <v>2.0289999999999999</v>
      </c>
      <c r="R81">
        <v>60</v>
      </c>
      <c r="S81">
        <v>412</v>
      </c>
      <c r="T81">
        <v>33</v>
      </c>
      <c r="U81">
        <v>8.1979797979797979</v>
      </c>
      <c r="V81">
        <v>4.1666666666666661</v>
      </c>
    </row>
    <row r="82" spans="1:22" x14ac:dyDescent="0.3">
      <c r="A82">
        <v>81</v>
      </c>
      <c r="B82" t="s">
        <v>94</v>
      </c>
      <c r="C82" t="s">
        <v>95</v>
      </c>
      <c r="D82">
        <v>37676068</v>
      </c>
      <c r="E82" t="s">
        <v>96</v>
      </c>
      <c r="F82">
        <v>15</v>
      </c>
      <c r="G82">
        <v>8</v>
      </c>
      <c r="H82">
        <v>2</v>
      </c>
      <c r="I82">
        <v>3</v>
      </c>
      <c r="J82">
        <v>2</v>
      </c>
      <c r="K82">
        <v>4</v>
      </c>
      <c r="L82">
        <v>-1</v>
      </c>
      <c r="M82">
        <v>1</v>
      </c>
      <c r="N82">
        <v>25</v>
      </c>
      <c r="O82">
        <v>24.75</v>
      </c>
      <c r="P82">
        <v>23.201000000000001</v>
      </c>
      <c r="Q82">
        <v>1.548999999999999</v>
      </c>
      <c r="R82">
        <v>60</v>
      </c>
      <c r="S82">
        <v>412</v>
      </c>
      <c r="T82">
        <v>25</v>
      </c>
      <c r="U82">
        <v>6.2585858585858567</v>
      </c>
      <c r="V82">
        <v>8</v>
      </c>
    </row>
    <row r="83" spans="1:22" x14ac:dyDescent="0.3">
      <c r="A83">
        <v>82</v>
      </c>
      <c r="B83" t="s">
        <v>94</v>
      </c>
      <c r="C83" t="s">
        <v>95</v>
      </c>
      <c r="D83" t="s">
        <v>109</v>
      </c>
      <c r="E83" t="s">
        <v>96</v>
      </c>
      <c r="F83">
        <v>15</v>
      </c>
      <c r="G83">
        <v>8</v>
      </c>
      <c r="H83">
        <v>2</v>
      </c>
      <c r="I83">
        <v>3</v>
      </c>
      <c r="J83">
        <v>2</v>
      </c>
      <c r="K83">
        <v>4</v>
      </c>
      <c r="L83">
        <v>-1</v>
      </c>
      <c r="M83">
        <v>1</v>
      </c>
      <c r="N83">
        <v>25</v>
      </c>
      <c r="O83">
        <v>24.75</v>
      </c>
      <c r="P83">
        <v>23.213000000000001</v>
      </c>
      <c r="Q83">
        <v>1.536999999999999</v>
      </c>
      <c r="R83">
        <v>60</v>
      </c>
      <c r="S83">
        <v>412</v>
      </c>
      <c r="T83">
        <v>25</v>
      </c>
      <c r="U83">
        <v>6.2101010101010061</v>
      </c>
      <c r="V83">
        <v>8</v>
      </c>
    </row>
    <row r="84" spans="1:22" x14ac:dyDescent="0.3">
      <c r="A84">
        <v>83</v>
      </c>
      <c r="B84" t="s">
        <v>94</v>
      </c>
      <c r="C84" t="s">
        <v>97</v>
      </c>
      <c r="D84">
        <v>37655428</v>
      </c>
      <c r="E84" t="s">
        <v>107</v>
      </c>
      <c r="F84">
        <v>9</v>
      </c>
      <c r="G84">
        <v>4</v>
      </c>
      <c r="H84">
        <v>3</v>
      </c>
      <c r="I84">
        <v>3</v>
      </c>
      <c r="J84">
        <v>2</v>
      </c>
      <c r="K84">
        <v>5</v>
      </c>
      <c r="L84">
        <v>0</v>
      </c>
      <c r="M84">
        <v>1</v>
      </c>
      <c r="N84">
        <v>16</v>
      </c>
      <c r="O84">
        <v>21.326000000000001</v>
      </c>
      <c r="P84">
        <v>19.504999999999999</v>
      </c>
      <c r="Q84">
        <v>1.821000000000002</v>
      </c>
      <c r="R84">
        <v>60</v>
      </c>
      <c r="S84">
        <v>355</v>
      </c>
      <c r="T84">
        <v>30</v>
      </c>
      <c r="U84">
        <v>8.5388727375035245</v>
      </c>
      <c r="V84">
        <v>18.75</v>
      </c>
    </row>
    <row r="85" spans="1:22" x14ac:dyDescent="0.3">
      <c r="A85">
        <v>84</v>
      </c>
      <c r="B85" t="s">
        <v>94</v>
      </c>
      <c r="C85" t="s">
        <v>97</v>
      </c>
      <c r="D85">
        <v>37655428</v>
      </c>
      <c r="E85" t="s">
        <v>107</v>
      </c>
      <c r="F85">
        <v>9</v>
      </c>
      <c r="G85">
        <v>4</v>
      </c>
      <c r="H85">
        <v>3</v>
      </c>
      <c r="I85">
        <v>3</v>
      </c>
      <c r="J85">
        <v>2</v>
      </c>
      <c r="K85">
        <v>5</v>
      </c>
      <c r="L85">
        <v>0</v>
      </c>
      <c r="M85">
        <v>1</v>
      </c>
      <c r="N85">
        <v>16</v>
      </c>
      <c r="O85">
        <v>24.75</v>
      </c>
      <c r="P85">
        <v>23.475000000000001</v>
      </c>
      <c r="Q85">
        <v>1.274999999999999</v>
      </c>
      <c r="R85">
        <v>60</v>
      </c>
      <c r="S85">
        <v>412</v>
      </c>
      <c r="T85">
        <v>21</v>
      </c>
      <c r="U85">
        <v>5.1515151515151461</v>
      </c>
      <c r="V85">
        <v>18.75</v>
      </c>
    </row>
    <row r="86" spans="1:22" x14ac:dyDescent="0.3">
      <c r="A86">
        <v>85</v>
      </c>
      <c r="B86" t="s">
        <v>94</v>
      </c>
      <c r="C86" t="s">
        <v>97</v>
      </c>
      <c r="D86">
        <v>37671844</v>
      </c>
      <c r="E86" t="s">
        <v>104</v>
      </c>
      <c r="F86">
        <v>1</v>
      </c>
      <c r="G86">
        <v>0</v>
      </c>
      <c r="H86">
        <v>2</v>
      </c>
      <c r="I86">
        <v>3</v>
      </c>
      <c r="J86">
        <v>2</v>
      </c>
      <c r="K86">
        <v>5</v>
      </c>
      <c r="L86">
        <v>-1</v>
      </c>
      <c r="M86">
        <v>1</v>
      </c>
      <c r="N86">
        <v>3</v>
      </c>
      <c r="O86">
        <v>21.407</v>
      </c>
      <c r="P86">
        <v>19.856999999999999</v>
      </c>
      <c r="Q86">
        <v>1.5500000000000009</v>
      </c>
      <c r="R86">
        <v>60</v>
      </c>
      <c r="S86">
        <v>356</v>
      </c>
      <c r="T86">
        <v>25</v>
      </c>
      <c r="U86">
        <v>7.240622226374553</v>
      </c>
      <c r="V86">
        <v>66.666666666666657</v>
      </c>
    </row>
    <row r="87" spans="1:22" x14ac:dyDescent="0.3">
      <c r="A87">
        <v>86</v>
      </c>
      <c r="B87" t="s">
        <v>94</v>
      </c>
      <c r="C87" t="s">
        <v>97</v>
      </c>
      <c r="D87">
        <v>37671844</v>
      </c>
      <c r="E87" t="s">
        <v>104</v>
      </c>
      <c r="F87">
        <v>1</v>
      </c>
      <c r="G87">
        <v>0</v>
      </c>
      <c r="H87">
        <v>2</v>
      </c>
      <c r="I87">
        <v>3</v>
      </c>
      <c r="J87">
        <v>2</v>
      </c>
      <c r="K87">
        <v>5</v>
      </c>
      <c r="L87">
        <v>-1</v>
      </c>
      <c r="M87">
        <v>1</v>
      </c>
      <c r="N87">
        <v>3</v>
      </c>
      <c r="O87">
        <v>24.75</v>
      </c>
      <c r="P87">
        <v>23.082000000000001</v>
      </c>
      <c r="Q87">
        <v>1.667999999999999</v>
      </c>
      <c r="R87">
        <v>60</v>
      </c>
      <c r="S87">
        <v>412</v>
      </c>
      <c r="T87">
        <v>27</v>
      </c>
      <c r="U87">
        <v>6.7393939393939366</v>
      </c>
      <c r="V87">
        <v>66.666666666666657</v>
      </c>
    </row>
    <row r="88" spans="1:22" x14ac:dyDescent="0.3">
      <c r="A88">
        <v>87</v>
      </c>
      <c r="B88" t="s">
        <v>94</v>
      </c>
      <c r="C88" t="s">
        <v>97</v>
      </c>
      <c r="D88">
        <v>37671844</v>
      </c>
      <c r="E88" t="s">
        <v>104</v>
      </c>
      <c r="F88">
        <v>1</v>
      </c>
      <c r="G88">
        <v>0</v>
      </c>
      <c r="H88">
        <v>2</v>
      </c>
      <c r="I88">
        <v>3</v>
      </c>
      <c r="J88">
        <v>2</v>
      </c>
      <c r="K88">
        <v>5</v>
      </c>
      <c r="L88">
        <v>-1</v>
      </c>
      <c r="M88">
        <v>1</v>
      </c>
      <c r="N88">
        <v>3</v>
      </c>
      <c r="O88">
        <v>20.721</v>
      </c>
      <c r="P88">
        <v>18.983000000000001</v>
      </c>
      <c r="Q88">
        <v>1.738</v>
      </c>
      <c r="R88">
        <v>20</v>
      </c>
      <c r="S88">
        <v>1036</v>
      </c>
      <c r="T88">
        <v>86</v>
      </c>
      <c r="U88">
        <v>8.3876260798224003</v>
      </c>
      <c r="V88">
        <v>66.666666666666657</v>
      </c>
    </row>
    <row r="89" spans="1:22" x14ac:dyDescent="0.3">
      <c r="A89">
        <v>88</v>
      </c>
      <c r="B89" t="s">
        <v>94</v>
      </c>
      <c r="C89" t="s">
        <v>97</v>
      </c>
      <c r="D89">
        <v>37673516</v>
      </c>
      <c r="E89" t="s">
        <v>105</v>
      </c>
      <c r="F89">
        <v>6</v>
      </c>
      <c r="G89">
        <v>2</v>
      </c>
      <c r="H89">
        <v>4</v>
      </c>
      <c r="I89">
        <v>3</v>
      </c>
      <c r="J89">
        <v>2</v>
      </c>
      <c r="K89">
        <v>5</v>
      </c>
      <c r="L89">
        <v>1</v>
      </c>
      <c r="M89">
        <v>0</v>
      </c>
      <c r="N89">
        <v>12</v>
      </c>
      <c r="O89">
        <v>23.937999999999999</v>
      </c>
      <c r="P89">
        <v>22.416</v>
      </c>
      <c r="Q89">
        <v>1.521999999999998</v>
      </c>
      <c r="R89">
        <v>20</v>
      </c>
      <c r="S89">
        <v>1196</v>
      </c>
      <c r="T89">
        <v>76</v>
      </c>
      <c r="U89">
        <v>6.3580917369872108</v>
      </c>
      <c r="V89">
        <v>33.333333333333329</v>
      </c>
    </row>
    <row r="90" spans="1:22" x14ac:dyDescent="0.3">
      <c r="A90">
        <v>89</v>
      </c>
      <c r="B90" t="s">
        <v>94</v>
      </c>
      <c r="C90" t="s">
        <v>97</v>
      </c>
      <c r="D90">
        <v>37673516</v>
      </c>
      <c r="E90" t="s">
        <v>105</v>
      </c>
      <c r="F90">
        <v>6</v>
      </c>
      <c r="G90">
        <v>2</v>
      </c>
      <c r="H90">
        <v>4</v>
      </c>
      <c r="I90">
        <v>3</v>
      </c>
      <c r="J90">
        <v>2</v>
      </c>
      <c r="K90">
        <v>5</v>
      </c>
      <c r="L90">
        <v>1</v>
      </c>
      <c r="M90">
        <v>0</v>
      </c>
      <c r="N90">
        <v>12</v>
      </c>
      <c r="O90">
        <v>24.074000000000002</v>
      </c>
      <c r="P90">
        <v>22.812999999999999</v>
      </c>
      <c r="Q90">
        <v>1.261000000000003</v>
      </c>
      <c r="R90">
        <v>25</v>
      </c>
      <c r="S90">
        <v>962</v>
      </c>
      <c r="T90">
        <v>50</v>
      </c>
      <c r="U90">
        <v>5.2380161169726787</v>
      </c>
      <c r="V90">
        <v>33.333333333333329</v>
      </c>
    </row>
    <row r="91" spans="1:22" x14ac:dyDescent="0.3">
      <c r="A91">
        <v>90</v>
      </c>
      <c r="B91" t="s">
        <v>94</v>
      </c>
      <c r="C91" t="s">
        <v>97</v>
      </c>
      <c r="D91">
        <v>37673516</v>
      </c>
      <c r="E91" t="s">
        <v>105</v>
      </c>
      <c r="F91">
        <v>6</v>
      </c>
      <c r="G91">
        <v>2</v>
      </c>
      <c r="H91">
        <v>4</v>
      </c>
      <c r="I91">
        <v>3</v>
      </c>
      <c r="J91">
        <v>2</v>
      </c>
      <c r="K91">
        <v>5</v>
      </c>
      <c r="L91">
        <v>1</v>
      </c>
      <c r="M91">
        <v>0</v>
      </c>
      <c r="N91">
        <v>12</v>
      </c>
      <c r="O91">
        <v>24.75</v>
      </c>
      <c r="P91">
        <v>22.718</v>
      </c>
      <c r="Q91">
        <v>2.032</v>
      </c>
      <c r="R91">
        <v>25</v>
      </c>
      <c r="S91">
        <v>990</v>
      </c>
      <c r="T91">
        <v>81</v>
      </c>
      <c r="U91">
        <v>8.2101010101010097</v>
      </c>
      <c r="V91">
        <v>33.333333333333329</v>
      </c>
    </row>
    <row r="92" spans="1:22" x14ac:dyDescent="0.3">
      <c r="A92">
        <v>91</v>
      </c>
      <c r="B92" t="s">
        <v>94</v>
      </c>
      <c r="C92" t="s">
        <v>97</v>
      </c>
      <c r="D92">
        <v>37708966</v>
      </c>
      <c r="E92" t="s">
        <v>96</v>
      </c>
      <c r="F92">
        <v>6</v>
      </c>
      <c r="G92">
        <v>9</v>
      </c>
      <c r="H92">
        <v>3</v>
      </c>
      <c r="I92">
        <v>3</v>
      </c>
      <c r="J92">
        <v>2</v>
      </c>
      <c r="K92">
        <v>5</v>
      </c>
      <c r="L92">
        <v>0</v>
      </c>
      <c r="M92">
        <v>1</v>
      </c>
      <c r="N92">
        <v>18</v>
      </c>
      <c r="O92">
        <v>24.75</v>
      </c>
      <c r="P92">
        <v>23.035</v>
      </c>
      <c r="Q92">
        <v>1.7150000000000001</v>
      </c>
      <c r="R92">
        <v>25</v>
      </c>
      <c r="S92">
        <v>990</v>
      </c>
      <c r="T92">
        <v>68</v>
      </c>
      <c r="U92">
        <v>6.9292929292929282</v>
      </c>
      <c r="V92">
        <v>16.666666666666661</v>
      </c>
    </row>
    <row r="93" spans="1:22" x14ac:dyDescent="0.3">
      <c r="A93">
        <v>92</v>
      </c>
      <c r="B93" t="s">
        <v>94</v>
      </c>
      <c r="C93" t="s">
        <v>97</v>
      </c>
      <c r="D93">
        <v>37708966</v>
      </c>
      <c r="E93" t="s">
        <v>96</v>
      </c>
      <c r="F93">
        <v>6</v>
      </c>
      <c r="G93">
        <v>9</v>
      </c>
      <c r="H93">
        <v>3</v>
      </c>
      <c r="I93">
        <v>3</v>
      </c>
      <c r="J93">
        <v>2</v>
      </c>
      <c r="K93">
        <v>5</v>
      </c>
      <c r="L93">
        <v>0</v>
      </c>
      <c r="M93">
        <v>1</v>
      </c>
      <c r="N93">
        <v>18</v>
      </c>
      <c r="O93">
        <v>24.75</v>
      </c>
      <c r="P93">
        <v>23.47</v>
      </c>
      <c r="Q93">
        <v>1.2800000000000009</v>
      </c>
      <c r="R93">
        <v>25</v>
      </c>
      <c r="S93">
        <v>990</v>
      </c>
      <c r="T93">
        <v>51</v>
      </c>
      <c r="U93">
        <v>5.1717171717171766</v>
      </c>
      <c r="V93">
        <v>16.666666666666661</v>
      </c>
    </row>
    <row r="94" spans="1:22" x14ac:dyDescent="0.3">
      <c r="A94">
        <v>93</v>
      </c>
      <c r="B94" t="s">
        <v>94</v>
      </c>
      <c r="C94" t="s">
        <v>95</v>
      </c>
      <c r="D94">
        <v>37702603</v>
      </c>
      <c r="E94" t="s">
        <v>96</v>
      </c>
      <c r="F94">
        <v>11</v>
      </c>
      <c r="G94">
        <v>7</v>
      </c>
      <c r="H94">
        <v>2</v>
      </c>
      <c r="I94">
        <v>3</v>
      </c>
      <c r="J94">
        <v>2</v>
      </c>
      <c r="K94">
        <v>4</v>
      </c>
      <c r="L94">
        <v>-1</v>
      </c>
      <c r="M94">
        <v>1</v>
      </c>
      <c r="N94">
        <v>20</v>
      </c>
      <c r="O94">
        <v>24.75</v>
      </c>
      <c r="P94">
        <v>22.513000000000002</v>
      </c>
      <c r="Q94">
        <v>2.2369999999999979</v>
      </c>
      <c r="R94">
        <v>25</v>
      </c>
      <c r="S94">
        <v>990</v>
      </c>
      <c r="T94">
        <v>89</v>
      </c>
      <c r="U94">
        <v>9.0383838383838313</v>
      </c>
      <c r="V94">
        <v>10</v>
      </c>
    </row>
    <row r="95" spans="1:22" x14ac:dyDescent="0.3">
      <c r="A95">
        <v>94</v>
      </c>
      <c r="B95" t="s">
        <v>94</v>
      </c>
      <c r="C95" t="s">
        <v>95</v>
      </c>
      <c r="D95">
        <v>37702603</v>
      </c>
      <c r="E95" t="s">
        <v>96</v>
      </c>
      <c r="F95">
        <v>11</v>
      </c>
      <c r="G95">
        <v>7</v>
      </c>
      <c r="H95">
        <v>2</v>
      </c>
      <c r="I95">
        <v>3</v>
      </c>
      <c r="J95">
        <v>2</v>
      </c>
      <c r="K95">
        <v>4</v>
      </c>
      <c r="L95">
        <v>-1</v>
      </c>
      <c r="M95">
        <v>1</v>
      </c>
      <c r="N95">
        <v>20</v>
      </c>
      <c r="O95">
        <v>24.75</v>
      </c>
      <c r="P95">
        <v>22.622</v>
      </c>
      <c r="Q95">
        <v>2.1280000000000001</v>
      </c>
      <c r="R95">
        <v>25</v>
      </c>
      <c r="S95">
        <v>990</v>
      </c>
      <c r="T95">
        <v>85</v>
      </c>
      <c r="U95">
        <v>8.5979797979797983</v>
      </c>
      <c r="V95">
        <v>10</v>
      </c>
    </row>
    <row r="96" spans="1:22" x14ac:dyDescent="0.3">
      <c r="A96">
        <v>95</v>
      </c>
      <c r="B96" t="s">
        <v>94</v>
      </c>
      <c r="C96" t="s">
        <v>95</v>
      </c>
      <c r="D96">
        <v>37702603</v>
      </c>
      <c r="E96" t="s">
        <v>96</v>
      </c>
      <c r="F96">
        <v>11</v>
      </c>
      <c r="G96">
        <v>7</v>
      </c>
      <c r="H96">
        <v>3</v>
      </c>
      <c r="I96">
        <v>3</v>
      </c>
      <c r="J96">
        <v>2</v>
      </c>
      <c r="K96">
        <v>4</v>
      </c>
      <c r="L96">
        <v>0</v>
      </c>
      <c r="M96">
        <v>1</v>
      </c>
      <c r="N96">
        <v>21</v>
      </c>
      <c r="O96">
        <v>24.75</v>
      </c>
      <c r="P96">
        <v>23.253</v>
      </c>
      <c r="Q96">
        <v>1.4970000000000001</v>
      </c>
      <c r="R96">
        <v>60</v>
      </c>
      <c r="S96">
        <v>412</v>
      </c>
      <c r="T96">
        <v>24</v>
      </c>
      <c r="U96">
        <v>6.0484848484848479</v>
      </c>
      <c r="V96">
        <v>14.285714285714279</v>
      </c>
    </row>
    <row r="97" spans="1:22" x14ac:dyDescent="0.3">
      <c r="A97">
        <v>96</v>
      </c>
      <c r="B97" t="s">
        <v>94</v>
      </c>
      <c r="C97" t="s">
        <v>97</v>
      </c>
      <c r="D97">
        <v>37685542</v>
      </c>
      <c r="E97" t="s">
        <v>102</v>
      </c>
      <c r="F97">
        <v>2</v>
      </c>
      <c r="G97">
        <v>6</v>
      </c>
      <c r="H97">
        <v>3</v>
      </c>
      <c r="I97">
        <v>3</v>
      </c>
      <c r="J97">
        <v>2</v>
      </c>
      <c r="K97">
        <v>5</v>
      </c>
      <c r="L97">
        <v>0</v>
      </c>
      <c r="M97">
        <v>1</v>
      </c>
      <c r="N97">
        <v>11</v>
      </c>
      <c r="O97">
        <v>24.75</v>
      </c>
      <c r="P97">
        <v>22.76</v>
      </c>
      <c r="Q97">
        <v>1.989999999999998</v>
      </c>
      <c r="R97">
        <v>60</v>
      </c>
      <c r="S97">
        <v>412</v>
      </c>
      <c r="T97">
        <v>33</v>
      </c>
      <c r="U97">
        <v>8.0404040404040344</v>
      </c>
      <c r="V97">
        <v>27.27272727272727</v>
      </c>
    </row>
    <row r="98" spans="1:22" x14ac:dyDescent="0.3">
      <c r="A98">
        <v>97</v>
      </c>
      <c r="B98" t="s">
        <v>94</v>
      </c>
      <c r="C98" t="s">
        <v>97</v>
      </c>
      <c r="D98">
        <v>37685542</v>
      </c>
      <c r="E98" t="s">
        <v>102</v>
      </c>
      <c r="F98">
        <v>2</v>
      </c>
      <c r="G98">
        <v>6</v>
      </c>
      <c r="H98">
        <v>2</v>
      </c>
      <c r="I98">
        <v>3</v>
      </c>
      <c r="J98">
        <v>2</v>
      </c>
      <c r="K98">
        <v>5</v>
      </c>
      <c r="L98">
        <v>-1</v>
      </c>
      <c r="M98">
        <v>1</v>
      </c>
      <c r="N98">
        <v>10</v>
      </c>
      <c r="O98">
        <v>24.75</v>
      </c>
      <c r="P98">
        <v>21.49</v>
      </c>
      <c r="Q98">
        <v>3.260000000000002</v>
      </c>
      <c r="R98">
        <v>60</v>
      </c>
      <c r="S98">
        <v>412</v>
      </c>
      <c r="T98">
        <v>54</v>
      </c>
      <c r="U98">
        <v>13.17171717171718</v>
      </c>
      <c r="V98">
        <v>20</v>
      </c>
    </row>
    <row r="99" spans="1:22" x14ac:dyDescent="0.3">
      <c r="A99">
        <v>98</v>
      </c>
      <c r="B99" t="s">
        <v>94</v>
      </c>
      <c r="C99" t="s">
        <v>97</v>
      </c>
      <c r="D99">
        <v>37685542</v>
      </c>
      <c r="E99" t="s">
        <v>102</v>
      </c>
      <c r="F99">
        <v>2</v>
      </c>
      <c r="G99">
        <v>6</v>
      </c>
      <c r="H99">
        <v>3</v>
      </c>
      <c r="I99">
        <v>3</v>
      </c>
      <c r="J99">
        <v>2</v>
      </c>
      <c r="K99">
        <v>5</v>
      </c>
      <c r="L99">
        <v>0</v>
      </c>
      <c r="M99">
        <v>1</v>
      </c>
      <c r="N99">
        <v>11</v>
      </c>
      <c r="O99">
        <v>24.75</v>
      </c>
      <c r="P99">
        <v>22.169</v>
      </c>
      <c r="Q99">
        <v>2.581</v>
      </c>
      <c r="R99">
        <v>60</v>
      </c>
      <c r="S99">
        <v>412</v>
      </c>
      <c r="T99">
        <v>43</v>
      </c>
      <c r="U99">
        <v>10.42828282828283</v>
      </c>
      <c r="V99">
        <v>27.27272727272727</v>
      </c>
    </row>
    <row r="100" spans="1:22" x14ac:dyDescent="0.3">
      <c r="A100">
        <v>99</v>
      </c>
      <c r="B100" t="s">
        <v>94</v>
      </c>
      <c r="C100" t="s">
        <v>110</v>
      </c>
      <c r="D100">
        <v>37689213</v>
      </c>
      <c r="E100" t="s">
        <v>111</v>
      </c>
      <c r="F100">
        <v>13</v>
      </c>
      <c r="G100">
        <v>3</v>
      </c>
      <c r="H100">
        <v>4</v>
      </c>
      <c r="I100">
        <v>3</v>
      </c>
      <c r="J100">
        <v>2</v>
      </c>
      <c r="K100">
        <v>4</v>
      </c>
      <c r="L100">
        <v>1</v>
      </c>
      <c r="M100">
        <v>0</v>
      </c>
      <c r="N100">
        <v>20</v>
      </c>
      <c r="O100">
        <v>24.75</v>
      </c>
      <c r="P100">
        <v>22.734999999999999</v>
      </c>
      <c r="Q100">
        <v>2.015000000000001</v>
      </c>
      <c r="R100">
        <v>60</v>
      </c>
      <c r="S100">
        <v>412</v>
      </c>
      <c r="T100">
        <v>33</v>
      </c>
      <c r="U100">
        <v>8.1414141414141437</v>
      </c>
      <c r="V100">
        <v>20</v>
      </c>
    </row>
    <row r="101" spans="1:22" x14ac:dyDescent="0.3">
      <c r="A101">
        <v>100</v>
      </c>
      <c r="B101" t="s">
        <v>94</v>
      </c>
      <c r="C101" t="s">
        <v>110</v>
      </c>
      <c r="D101">
        <v>37689213</v>
      </c>
      <c r="E101" t="s">
        <v>111</v>
      </c>
      <c r="F101">
        <v>13</v>
      </c>
      <c r="G101">
        <v>3</v>
      </c>
      <c r="H101">
        <v>3</v>
      </c>
      <c r="I101">
        <v>3</v>
      </c>
      <c r="J101">
        <v>2</v>
      </c>
      <c r="K101">
        <v>4</v>
      </c>
      <c r="L101">
        <v>0</v>
      </c>
      <c r="M101">
        <v>1</v>
      </c>
      <c r="N101">
        <v>19</v>
      </c>
      <c r="O101">
        <v>24.75</v>
      </c>
      <c r="P101">
        <v>22.077000000000002</v>
      </c>
      <c r="Q101">
        <v>2.6729999999999978</v>
      </c>
      <c r="R101">
        <v>25</v>
      </c>
      <c r="S101">
        <v>990</v>
      </c>
      <c r="T101">
        <v>106</v>
      </c>
      <c r="U101">
        <v>10.79999999999999</v>
      </c>
      <c r="V101">
        <v>15.789473684210529</v>
      </c>
    </row>
    <row r="102" spans="1:22" x14ac:dyDescent="0.3">
      <c r="A102">
        <v>101</v>
      </c>
      <c r="B102" t="s">
        <v>94</v>
      </c>
      <c r="C102" t="s">
        <v>110</v>
      </c>
      <c r="D102">
        <v>37689213</v>
      </c>
      <c r="E102" t="s">
        <v>111</v>
      </c>
      <c r="F102">
        <v>13</v>
      </c>
      <c r="G102">
        <v>1</v>
      </c>
      <c r="H102">
        <v>2</v>
      </c>
      <c r="I102">
        <v>3</v>
      </c>
      <c r="J102">
        <v>2</v>
      </c>
      <c r="K102">
        <v>4</v>
      </c>
      <c r="L102">
        <v>-1</v>
      </c>
      <c r="M102">
        <v>1</v>
      </c>
      <c r="N102">
        <v>16</v>
      </c>
      <c r="O102">
        <v>24.75</v>
      </c>
      <c r="P102">
        <v>23.254999999999999</v>
      </c>
      <c r="Q102">
        <v>1.495000000000001</v>
      </c>
      <c r="R102">
        <v>25</v>
      </c>
      <c r="S102">
        <v>990</v>
      </c>
      <c r="T102">
        <v>59</v>
      </c>
      <c r="U102">
        <v>6.0404040404040442</v>
      </c>
      <c r="V102">
        <v>12.5</v>
      </c>
    </row>
    <row r="103" spans="1:22" x14ac:dyDescent="0.3">
      <c r="A103">
        <v>102</v>
      </c>
      <c r="B103" t="s">
        <v>94</v>
      </c>
      <c r="C103" t="s">
        <v>110</v>
      </c>
      <c r="D103">
        <v>37689213</v>
      </c>
      <c r="E103" t="s">
        <v>111</v>
      </c>
      <c r="F103">
        <v>13</v>
      </c>
      <c r="G103">
        <v>1</v>
      </c>
      <c r="H103">
        <v>3</v>
      </c>
      <c r="I103">
        <v>3</v>
      </c>
      <c r="J103">
        <v>2</v>
      </c>
      <c r="K103">
        <v>4</v>
      </c>
      <c r="L103">
        <v>0</v>
      </c>
      <c r="M103">
        <v>1</v>
      </c>
      <c r="N103">
        <v>17</v>
      </c>
      <c r="O103">
        <v>24.75</v>
      </c>
      <c r="P103">
        <v>22.23</v>
      </c>
      <c r="Q103">
        <v>2.52</v>
      </c>
      <c r="R103">
        <v>25</v>
      </c>
      <c r="S103">
        <v>990</v>
      </c>
      <c r="T103">
        <v>100</v>
      </c>
      <c r="U103">
        <v>10.18181818181818</v>
      </c>
      <c r="V103">
        <v>17.647058823529409</v>
      </c>
    </row>
    <row r="104" spans="1:22" x14ac:dyDescent="0.3">
      <c r="A104">
        <v>103</v>
      </c>
      <c r="B104" t="s">
        <v>94</v>
      </c>
      <c r="C104" t="s">
        <v>97</v>
      </c>
      <c r="D104">
        <v>37698928</v>
      </c>
      <c r="E104" t="s">
        <v>102</v>
      </c>
      <c r="F104">
        <v>5</v>
      </c>
      <c r="G104">
        <v>0</v>
      </c>
      <c r="H104">
        <v>3</v>
      </c>
      <c r="I104">
        <v>3</v>
      </c>
      <c r="J104">
        <v>2</v>
      </c>
      <c r="K104">
        <v>5</v>
      </c>
      <c r="L104">
        <v>0</v>
      </c>
      <c r="M104">
        <v>1</v>
      </c>
      <c r="N104">
        <v>8</v>
      </c>
      <c r="O104">
        <v>24.75</v>
      </c>
      <c r="P104">
        <v>23.405999999999999</v>
      </c>
      <c r="Q104">
        <v>1.344000000000001</v>
      </c>
      <c r="R104">
        <v>50</v>
      </c>
      <c r="S104">
        <v>495</v>
      </c>
      <c r="T104">
        <v>26</v>
      </c>
      <c r="U104">
        <v>5.4303030303030351</v>
      </c>
      <c r="V104">
        <v>37.5</v>
      </c>
    </row>
    <row r="105" spans="1:22" x14ac:dyDescent="0.3">
      <c r="A105">
        <v>104</v>
      </c>
      <c r="B105" t="s">
        <v>94</v>
      </c>
      <c r="C105" t="s">
        <v>97</v>
      </c>
      <c r="D105">
        <v>37698928</v>
      </c>
      <c r="E105" t="s">
        <v>102</v>
      </c>
      <c r="F105">
        <v>5</v>
      </c>
      <c r="G105">
        <v>0</v>
      </c>
      <c r="H105">
        <v>2</v>
      </c>
      <c r="I105">
        <v>3</v>
      </c>
      <c r="J105">
        <v>2</v>
      </c>
      <c r="K105">
        <v>5</v>
      </c>
      <c r="L105">
        <v>-1</v>
      </c>
      <c r="M105">
        <v>1</v>
      </c>
      <c r="N105">
        <v>7</v>
      </c>
      <c r="O105">
        <v>22.001999999999999</v>
      </c>
      <c r="P105">
        <v>20.616</v>
      </c>
      <c r="Q105">
        <v>1.385999999999999</v>
      </c>
      <c r="R105">
        <v>50</v>
      </c>
      <c r="S105">
        <v>440</v>
      </c>
      <c r="T105">
        <v>27</v>
      </c>
      <c r="U105">
        <v>6.2994273247886516</v>
      </c>
      <c r="V105">
        <v>28.571428571428569</v>
      </c>
    </row>
    <row r="106" spans="1:22" x14ac:dyDescent="0.3">
      <c r="A106">
        <v>105</v>
      </c>
      <c r="B106" t="s">
        <v>94</v>
      </c>
      <c r="C106" t="s">
        <v>97</v>
      </c>
      <c r="D106">
        <v>37698928</v>
      </c>
      <c r="E106" t="s">
        <v>102</v>
      </c>
      <c r="F106">
        <v>5</v>
      </c>
      <c r="G106">
        <v>0</v>
      </c>
      <c r="H106">
        <v>3</v>
      </c>
      <c r="I106">
        <v>3</v>
      </c>
      <c r="J106">
        <v>2</v>
      </c>
      <c r="K106">
        <v>5</v>
      </c>
      <c r="L106">
        <v>0</v>
      </c>
      <c r="M106">
        <v>1</v>
      </c>
      <c r="N106">
        <v>8</v>
      </c>
      <c r="O106">
        <v>21.372</v>
      </c>
      <c r="P106">
        <v>20.094000000000001</v>
      </c>
      <c r="Q106">
        <v>1.2779999999999989</v>
      </c>
      <c r="R106">
        <v>50</v>
      </c>
      <c r="S106">
        <v>427</v>
      </c>
      <c r="T106">
        <v>25</v>
      </c>
      <c r="U106">
        <v>5.9797866367209371</v>
      </c>
      <c r="V106">
        <v>37.5</v>
      </c>
    </row>
    <row r="107" spans="1:22" x14ac:dyDescent="0.3">
      <c r="A107">
        <v>106</v>
      </c>
      <c r="B107" t="s">
        <v>94</v>
      </c>
      <c r="C107" t="s">
        <v>97</v>
      </c>
      <c r="D107">
        <v>37698928</v>
      </c>
      <c r="E107" t="s">
        <v>102</v>
      </c>
      <c r="F107">
        <v>5</v>
      </c>
      <c r="G107">
        <v>0</v>
      </c>
      <c r="H107">
        <v>3</v>
      </c>
      <c r="I107">
        <v>3</v>
      </c>
      <c r="J107">
        <v>2</v>
      </c>
      <c r="K107">
        <v>5</v>
      </c>
      <c r="L107">
        <v>0</v>
      </c>
      <c r="M107">
        <v>1</v>
      </c>
      <c r="N107">
        <v>8</v>
      </c>
      <c r="O107">
        <v>22.63</v>
      </c>
      <c r="P107">
        <v>21.413</v>
      </c>
      <c r="Q107">
        <v>1.216999999999999</v>
      </c>
      <c r="R107">
        <v>50</v>
      </c>
      <c r="S107">
        <v>452</v>
      </c>
      <c r="T107">
        <v>24</v>
      </c>
      <c r="U107">
        <v>5.3778170570039716</v>
      </c>
      <c r="V107">
        <v>37.5</v>
      </c>
    </row>
    <row r="108" spans="1:22" x14ac:dyDescent="0.3">
      <c r="A108">
        <v>107</v>
      </c>
      <c r="B108" t="s">
        <v>94</v>
      </c>
      <c r="C108" t="s">
        <v>97</v>
      </c>
      <c r="D108">
        <v>37699176</v>
      </c>
      <c r="E108" t="s">
        <v>101</v>
      </c>
      <c r="F108">
        <v>2</v>
      </c>
      <c r="G108">
        <v>1</v>
      </c>
      <c r="H108">
        <v>2</v>
      </c>
      <c r="I108">
        <v>3</v>
      </c>
      <c r="J108">
        <v>2</v>
      </c>
      <c r="K108">
        <v>5</v>
      </c>
      <c r="L108">
        <v>-1</v>
      </c>
      <c r="M108">
        <v>1</v>
      </c>
      <c r="N108">
        <v>5</v>
      </c>
      <c r="O108">
        <v>21.422000000000001</v>
      </c>
      <c r="P108">
        <v>19.997</v>
      </c>
      <c r="Q108">
        <v>1.4250000000000009</v>
      </c>
      <c r="R108">
        <v>25</v>
      </c>
      <c r="S108">
        <v>856</v>
      </c>
      <c r="T108">
        <v>57</v>
      </c>
      <c r="U108">
        <v>6.6520399589207386</v>
      </c>
      <c r="V108">
        <v>40</v>
      </c>
    </row>
    <row r="109" spans="1:22" x14ac:dyDescent="0.3">
      <c r="A109">
        <v>108</v>
      </c>
      <c r="B109" t="s">
        <v>94</v>
      </c>
      <c r="C109" t="s">
        <v>97</v>
      </c>
      <c r="D109">
        <v>37699176</v>
      </c>
      <c r="E109" t="s">
        <v>101</v>
      </c>
      <c r="F109">
        <v>2</v>
      </c>
      <c r="G109">
        <v>1</v>
      </c>
      <c r="H109">
        <v>2</v>
      </c>
      <c r="I109">
        <v>3</v>
      </c>
      <c r="J109">
        <v>2</v>
      </c>
      <c r="K109">
        <v>5</v>
      </c>
      <c r="L109">
        <v>-1</v>
      </c>
      <c r="M109">
        <v>1</v>
      </c>
      <c r="N109">
        <v>5</v>
      </c>
      <c r="O109">
        <v>24.75</v>
      </c>
      <c r="P109">
        <v>22.669</v>
      </c>
      <c r="Q109">
        <v>2.081</v>
      </c>
      <c r="R109">
        <v>25</v>
      </c>
      <c r="S109">
        <v>990</v>
      </c>
      <c r="T109">
        <v>83</v>
      </c>
      <c r="U109">
        <v>8.4080808080808058</v>
      </c>
      <c r="V109">
        <v>40</v>
      </c>
    </row>
    <row r="110" spans="1:22" x14ac:dyDescent="0.3">
      <c r="A110">
        <v>109</v>
      </c>
      <c r="B110" t="s">
        <v>94</v>
      </c>
      <c r="C110" t="s">
        <v>97</v>
      </c>
      <c r="D110">
        <v>37699855</v>
      </c>
      <c r="E110" t="s">
        <v>101</v>
      </c>
      <c r="F110">
        <v>2</v>
      </c>
      <c r="G110">
        <v>0</v>
      </c>
      <c r="H110">
        <v>3</v>
      </c>
      <c r="I110">
        <v>3</v>
      </c>
      <c r="J110">
        <v>2</v>
      </c>
      <c r="K110">
        <v>5</v>
      </c>
      <c r="L110">
        <v>0</v>
      </c>
      <c r="M110">
        <v>1</v>
      </c>
      <c r="N110">
        <v>5</v>
      </c>
      <c r="O110">
        <v>24.75</v>
      </c>
      <c r="P110">
        <v>22.713000000000001</v>
      </c>
      <c r="Q110">
        <v>2.036999999999999</v>
      </c>
      <c r="R110">
        <v>25</v>
      </c>
      <c r="S110">
        <v>990</v>
      </c>
      <c r="T110">
        <v>81</v>
      </c>
      <c r="U110">
        <v>8.2303030303030269</v>
      </c>
      <c r="V110">
        <v>60</v>
      </c>
    </row>
    <row r="111" spans="1:22" x14ac:dyDescent="0.3">
      <c r="A111">
        <v>110</v>
      </c>
      <c r="B111" t="s">
        <v>94</v>
      </c>
      <c r="C111" t="s">
        <v>97</v>
      </c>
      <c r="D111">
        <v>37716208</v>
      </c>
      <c r="E111" t="s">
        <v>103</v>
      </c>
      <c r="F111">
        <v>2</v>
      </c>
      <c r="G111">
        <v>0</v>
      </c>
      <c r="H111">
        <v>3</v>
      </c>
      <c r="I111">
        <v>3</v>
      </c>
      <c r="J111">
        <v>2</v>
      </c>
      <c r="K111">
        <v>5</v>
      </c>
      <c r="L111">
        <v>0</v>
      </c>
      <c r="M111">
        <v>1</v>
      </c>
      <c r="N111">
        <v>5</v>
      </c>
      <c r="O111">
        <v>24.75</v>
      </c>
      <c r="P111">
        <v>23.47</v>
      </c>
      <c r="Q111">
        <v>1.2800000000000009</v>
      </c>
      <c r="R111">
        <v>25</v>
      </c>
      <c r="S111">
        <v>990</v>
      </c>
      <c r="T111">
        <v>51</v>
      </c>
      <c r="U111">
        <v>5.1717171717171766</v>
      </c>
      <c r="V111">
        <v>60</v>
      </c>
    </row>
    <row r="112" spans="1:22" x14ac:dyDescent="0.3">
      <c r="A112">
        <v>111</v>
      </c>
      <c r="B112" t="s">
        <v>94</v>
      </c>
      <c r="C112" t="s">
        <v>97</v>
      </c>
      <c r="D112">
        <v>37716208</v>
      </c>
      <c r="E112" t="s">
        <v>103</v>
      </c>
      <c r="F112">
        <v>2</v>
      </c>
      <c r="G112">
        <v>0</v>
      </c>
      <c r="H112">
        <v>3</v>
      </c>
      <c r="I112">
        <v>3</v>
      </c>
      <c r="J112">
        <v>2</v>
      </c>
      <c r="K112">
        <v>5</v>
      </c>
      <c r="L112">
        <v>0</v>
      </c>
      <c r="M112">
        <v>1</v>
      </c>
      <c r="N112">
        <v>5</v>
      </c>
      <c r="O112">
        <v>24.75</v>
      </c>
      <c r="P112">
        <v>22.003</v>
      </c>
      <c r="Q112">
        <v>2.7469999999999999</v>
      </c>
      <c r="R112">
        <v>25</v>
      </c>
      <c r="S112">
        <v>990</v>
      </c>
      <c r="T112">
        <v>109</v>
      </c>
      <c r="U112">
        <v>11.098989898989901</v>
      </c>
      <c r="V112">
        <v>60</v>
      </c>
    </row>
    <row r="113" spans="1:22" x14ac:dyDescent="0.3">
      <c r="A113">
        <v>112</v>
      </c>
      <c r="B113" t="s">
        <v>94</v>
      </c>
      <c r="C113" t="s">
        <v>97</v>
      </c>
      <c r="D113">
        <v>376998556</v>
      </c>
      <c r="E113" t="s">
        <v>101</v>
      </c>
      <c r="F113">
        <v>2</v>
      </c>
      <c r="G113">
        <v>0</v>
      </c>
      <c r="H113">
        <v>2</v>
      </c>
      <c r="I113">
        <v>3</v>
      </c>
      <c r="J113">
        <v>2</v>
      </c>
      <c r="K113">
        <v>5</v>
      </c>
      <c r="L113">
        <v>-1</v>
      </c>
      <c r="M113">
        <v>1</v>
      </c>
      <c r="N113">
        <v>4</v>
      </c>
      <c r="O113">
        <v>24.75</v>
      </c>
      <c r="P113">
        <v>22.81</v>
      </c>
      <c r="Q113">
        <v>1.9400000000000011</v>
      </c>
      <c r="R113">
        <v>25</v>
      </c>
      <c r="S113">
        <v>990</v>
      </c>
      <c r="T113">
        <v>77</v>
      </c>
      <c r="U113">
        <v>7.8383838383838427</v>
      </c>
      <c r="V113">
        <v>50</v>
      </c>
    </row>
    <row r="114" spans="1:22" x14ac:dyDescent="0.3">
      <c r="A114">
        <v>113</v>
      </c>
      <c r="B114" t="s">
        <v>94</v>
      </c>
      <c r="C114" t="s">
        <v>97</v>
      </c>
      <c r="D114">
        <v>376998556</v>
      </c>
      <c r="E114" t="s">
        <v>101</v>
      </c>
      <c r="F114">
        <v>2</v>
      </c>
      <c r="G114">
        <v>0</v>
      </c>
      <c r="H114">
        <v>2</v>
      </c>
      <c r="I114">
        <v>3</v>
      </c>
      <c r="J114">
        <v>2</v>
      </c>
      <c r="K114">
        <v>5</v>
      </c>
      <c r="L114">
        <v>-1</v>
      </c>
      <c r="M114">
        <v>1</v>
      </c>
      <c r="N114">
        <v>4</v>
      </c>
      <c r="O114">
        <v>21.972999999999999</v>
      </c>
      <c r="P114">
        <v>20.667999999999999</v>
      </c>
      <c r="Q114">
        <v>1.3049999999999999</v>
      </c>
      <c r="R114">
        <v>25</v>
      </c>
      <c r="S114">
        <v>878</v>
      </c>
      <c r="T114">
        <v>52</v>
      </c>
      <c r="U114">
        <v>5.9391070859691428</v>
      </c>
      <c r="V114">
        <v>50</v>
      </c>
    </row>
    <row r="115" spans="1:22" x14ac:dyDescent="0.3">
      <c r="A115">
        <v>114</v>
      </c>
      <c r="B115" t="s">
        <v>94</v>
      </c>
      <c r="C115" t="s">
        <v>97</v>
      </c>
      <c r="D115" t="s">
        <v>112</v>
      </c>
      <c r="E115" t="s">
        <v>101</v>
      </c>
      <c r="F115">
        <v>2</v>
      </c>
      <c r="G115">
        <v>1</v>
      </c>
      <c r="H115">
        <v>2</v>
      </c>
      <c r="I115">
        <v>3</v>
      </c>
      <c r="J115">
        <v>2</v>
      </c>
      <c r="K115">
        <v>5</v>
      </c>
      <c r="L115">
        <v>-1</v>
      </c>
      <c r="M115">
        <v>1</v>
      </c>
      <c r="N115">
        <v>5</v>
      </c>
      <c r="O115">
        <v>20.186</v>
      </c>
      <c r="P115">
        <v>19.126000000000001</v>
      </c>
      <c r="Q115">
        <v>1.0599999999999989</v>
      </c>
      <c r="R115">
        <v>50</v>
      </c>
      <c r="S115">
        <v>403</v>
      </c>
      <c r="T115">
        <v>21</v>
      </c>
      <c r="U115">
        <v>5.2511641731893333</v>
      </c>
      <c r="V115">
        <v>40</v>
      </c>
    </row>
    <row r="116" spans="1:22" x14ac:dyDescent="0.3">
      <c r="A116">
        <v>115</v>
      </c>
      <c r="B116" t="s">
        <v>94</v>
      </c>
      <c r="C116" t="s">
        <v>97</v>
      </c>
      <c r="D116">
        <v>37736489</v>
      </c>
      <c r="E116" t="s">
        <v>102</v>
      </c>
      <c r="F116">
        <v>10</v>
      </c>
      <c r="G116">
        <v>1</v>
      </c>
      <c r="H116">
        <v>2</v>
      </c>
      <c r="I116">
        <v>3</v>
      </c>
      <c r="J116">
        <v>2</v>
      </c>
      <c r="K116">
        <v>5</v>
      </c>
      <c r="L116">
        <v>-1</v>
      </c>
      <c r="M116">
        <v>1</v>
      </c>
      <c r="N116">
        <v>13</v>
      </c>
      <c r="O116">
        <v>24.75</v>
      </c>
      <c r="P116">
        <v>23.114000000000001</v>
      </c>
      <c r="Q116">
        <v>1.635999999999999</v>
      </c>
      <c r="R116">
        <v>50</v>
      </c>
      <c r="S116">
        <v>495</v>
      </c>
      <c r="T116">
        <v>32</v>
      </c>
      <c r="U116">
        <v>6.6101010101010056</v>
      </c>
      <c r="V116">
        <v>15.38461538461539</v>
      </c>
    </row>
    <row r="117" spans="1:22" x14ac:dyDescent="0.3">
      <c r="A117">
        <v>116</v>
      </c>
      <c r="B117" t="s">
        <v>94</v>
      </c>
      <c r="C117" t="s">
        <v>97</v>
      </c>
      <c r="D117">
        <v>37736489</v>
      </c>
      <c r="E117" t="s">
        <v>102</v>
      </c>
      <c r="F117">
        <v>10</v>
      </c>
      <c r="G117">
        <v>1</v>
      </c>
      <c r="H117">
        <v>2</v>
      </c>
      <c r="I117">
        <v>3</v>
      </c>
      <c r="J117">
        <v>2</v>
      </c>
      <c r="K117">
        <v>5</v>
      </c>
      <c r="L117">
        <v>-1</v>
      </c>
      <c r="M117">
        <v>1</v>
      </c>
      <c r="N117">
        <v>13</v>
      </c>
      <c r="O117">
        <v>20.382000000000001</v>
      </c>
      <c r="P117">
        <v>19.239000000000001</v>
      </c>
      <c r="Q117">
        <v>1.1430000000000009</v>
      </c>
      <c r="R117">
        <v>25</v>
      </c>
      <c r="S117">
        <v>815</v>
      </c>
      <c r="T117">
        <v>45</v>
      </c>
      <c r="U117">
        <v>5.6078893141006798</v>
      </c>
      <c r="V117">
        <v>15.38461538461539</v>
      </c>
    </row>
    <row r="118" spans="1:22" x14ac:dyDescent="0.3">
      <c r="A118">
        <v>117</v>
      </c>
      <c r="B118" t="s">
        <v>94</v>
      </c>
      <c r="C118" t="s">
        <v>97</v>
      </c>
      <c r="D118">
        <v>37736489</v>
      </c>
      <c r="E118" t="s">
        <v>102</v>
      </c>
      <c r="F118">
        <v>10</v>
      </c>
      <c r="G118">
        <v>1</v>
      </c>
      <c r="H118">
        <v>3</v>
      </c>
      <c r="I118">
        <v>3</v>
      </c>
      <c r="J118">
        <v>2</v>
      </c>
      <c r="K118">
        <v>5</v>
      </c>
      <c r="L118">
        <v>0</v>
      </c>
      <c r="M118">
        <v>1</v>
      </c>
      <c r="N118">
        <v>14</v>
      </c>
      <c r="O118">
        <v>23.625</v>
      </c>
      <c r="P118">
        <v>22.073</v>
      </c>
      <c r="Q118">
        <v>1.552</v>
      </c>
      <c r="R118">
        <v>25</v>
      </c>
      <c r="S118">
        <v>945</v>
      </c>
      <c r="T118">
        <v>62</v>
      </c>
      <c r="U118">
        <v>6.5693121693121679</v>
      </c>
      <c r="V118">
        <v>21.428571428571431</v>
      </c>
    </row>
    <row r="119" spans="1:22" x14ac:dyDescent="0.3">
      <c r="A119">
        <v>118</v>
      </c>
      <c r="B119" t="s">
        <v>94</v>
      </c>
      <c r="C119" t="s">
        <v>97</v>
      </c>
      <c r="D119">
        <v>37736489</v>
      </c>
      <c r="E119" t="s">
        <v>102</v>
      </c>
      <c r="F119">
        <v>10</v>
      </c>
      <c r="G119">
        <v>1</v>
      </c>
      <c r="H119">
        <v>3</v>
      </c>
      <c r="I119">
        <v>3</v>
      </c>
      <c r="J119">
        <v>2</v>
      </c>
      <c r="K119">
        <v>5</v>
      </c>
      <c r="L119">
        <v>0</v>
      </c>
      <c r="M119">
        <v>1</v>
      </c>
      <c r="N119">
        <v>14</v>
      </c>
      <c r="O119">
        <v>24.75</v>
      </c>
      <c r="P119">
        <v>22.904</v>
      </c>
      <c r="Q119">
        <v>1.8460000000000001</v>
      </c>
      <c r="R119">
        <v>25</v>
      </c>
      <c r="S119">
        <v>990</v>
      </c>
      <c r="T119">
        <v>73</v>
      </c>
      <c r="U119">
        <v>7.4585858585858587</v>
      </c>
      <c r="V119">
        <v>21.428571428571431</v>
      </c>
    </row>
    <row r="120" spans="1:22" x14ac:dyDescent="0.3">
      <c r="A120">
        <v>119</v>
      </c>
      <c r="B120" t="s">
        <v>94</v>
      </c>
      <c r="C120" t="s">
        <v>113</v>
      </c>
      <c r="D120" t="s">
        <v>114</v>
      </c>
      <c r="E120" t="s">
        <v>115</v>
      </c>
      <c r="F120">
        <v>10</v>
      </c>
      <c r="G120">
        <v>1</v>
      </c>
      <c r="H120">
        <v>2</v>
      </c>
      <c r="I120">
        <v>2</v>
      </c>
      <c r="J120">
        <v>1</v>
      </c>
      <c r="K120">
        <v>3</v>
      </c>
      <c r="L120">
        <v>0</v>
      </c>
      <c r="M120">
        <v>1</v>
      </c>
      <c r="N120">
        <v>13</v>
      </c>
      <c r="O120">
        <v>24.75</v>
      </c>
      <c r="P120">
        <v>23.431000000000001</v>
      </c>
      <c r="Q120">
        <v>1.3189999999999991</v>
      </c>
      <c r="R120">
        <v>25</v>
      </c>
      <c r="S120">
        <v>990</v>
      </c>
      <c r="T120">
        <v>52</v>
      </c>
      <c r="U120">
        <v>5.329292929292925</v>
      </c>
      <c r="V120">
        <v>15.38461538461539</v>
      </c>
    </row>
    <row r="121" spans="1:22" x14ac:dyDescent="0.3">
      <c r="A121">
        <v>120</v>
      </c>
      <c r="B121" t="s">
        <v>94</v>
      </c>
      <c r="C121" t="s">
        <v>113</v>
      </c>
      <c r="D121" t="s">
        <v>114</v>
      </c>
      <c r="E121" t="s">
        <v>115</v>
      </c>
      <c r="F121">
        <v>10</v>
      </c>
      <c r="G121">
        <v>1</v>
      </c>
      <c r="H121">
        <v>3</v>
      </c>
      <c r="I121">
        <v>2</v>
      </c>
      <c r="J121">
        <v>1</v>
      </c>
      <c r="K121">
        <v>3</v>
      </c>
      <c r="L121">
        <v>1</v>
      </c>
      <c r="M121">
        <v>0</v>
      </c>
      <c r="N121">
        <v>14</v>
      </c>
      <c r="O121">
        <v>24.75</v>
      </c>
      <c r="P121">
        <v>22.805</v>
      </c>
      <c r="Q121">
        <v>1.9450000000000001</v>
      </c>
      <c r="R121">
        <v>25</v>
      </c>
      <c r="S121">
        <v>990</v>
      </c>
      <c r="T121">
        <v>77</v>
      </c>
      <c r="U121">
        <v>7.858585858585859</v>
      </c>
      <c r="V121">
        <v>21.428571428571431</v>
      </c>
    </row>
    <row r="122" spans="1:22" x14ac:dyDescent="0.3">
      <c r="A122">
        <v>121</v>
      </c>
      <c r="B122" t="s">
        <v>94</v>
      </c>
      <c r="C122" t="s">
        <v>113</v>
      </c>
      <c r="D122" t="s">
        <v>114</v>
      </c>
      <c r="E122" t="s">
        <v>115</v>
      </c>
      <c r="F122">
        <v>10</v>
      </c>
      <c r="G122">
        <v>1</v>
      </c>
      <c r="H122">
        <v>3</v>
      </c>
      <c r="I122">
        <v>2</v>
      </c>
      <c r="J122">
        <v>1</v>
      </c>
      <c r="K122">
        <v>3</v>
      </c>
      <c r="L122">
        <v>1</v>
      </c>
      <c r="M122">
        <v>0</v>
      </c>
      <c r="N122">
        <v>14</v>
      </c>
      <c r="O122">
        <v>24.75</v>
      </c>
      <c r="P122">
        <v>22.584</v>
      </c>
      <c r="Q122">
        <v>2.1659999999999999</v>
      </c>
      <c r="R122">
        <v>25</v>
      </c>
      <c r="S122">
        <v>990</v>
      </c>
      <c r="T122">
        <v>86</v>
      </c>
      <c r="U122">
        <v>8.7515151515151537</v>
      </c>
      <c r="V122">
        <v>21.428571428571431</v>
      </c>
    </row>
    <row r="123" spans="1:22" x14ac:dyDescent="0.3">
      <c r="A123">
        <v>122</v>
      </c>
      <c r="B123" t="s">
        <v>94</v>
      </c>
      <c r="C123" t="s">
        <v>113</v>
      </c>
      <c r="D123" t="s">
        <v>114</v>
      </c>
      <c r="E123" t="s">
        <v>115</v>
      </c>
      <c r="F123">
        <v>10</v>
      </c>
      <c r="G123">
        <v>1</v>
      </c>
      <c r="H123">
        <v>3</v>
      </c>
      <c r="I123">
        <v>2</v>
      </c>
      <c r="J123">
        <v>1</v>
      </c>
      <c r="K123">
        <v>3</v>
      </c>
      <c r="L123">
        <v>1</v>
      </c>
      <c r="M123">
        <v>0</v>
      </c>
      <c r="N123">
        <v>14</v>
      </c>
      <c r="O123">
        <v>24.75</v>
      </c>
      <c r="P123">
        <v>21.937999999999999</v>
      </c>
      <c r="Q123">
        <v>2.8120000000000012</v>
      </c>
      <c r="R123">
        <v>25</v>
      </c>
      <c r="S123">
        <v>990</v>
      </c>
      <c r="T123">
        <v>112</v>
      </c>
      <c r="U123">
        <v>11.361616161616171</v>
      </c>
      <c r="V123">
        <v>21.428571428571431</v>
      </c>
    </row>
    <row r="124" spans="1:22" x14ac:dyDescent="0.3">
      <c r="A124">
        <v>123</v>
      </c>
      <c r="B124" t="s">
        <v>94</v>
      </c>
      <c r="C124" t="s">
        <v>113</v>
      </c>
      <c r="D124" t="s">
        <v>116</v>
      </c>
      <c r="E124" t="s">
        <v>115</v>
      </c>
      <c r="F124">
        <v>10</v>
      </c>
      <c r="G124">
        <v>0</v>
      </c>
      <c r="H124">
        <v>2</v>
      </c>
      <c r="I124">
        <v>2</v>
      </c>
      <c r="J124">
        <v>1</v>
      </c>
      <c r="K124">
        <v>3</v>
      </c>
      <c r="L124">
        <v>0</v>
      </c>
      <c r="M124">
        <v>1</v>
      </c>
      <c r="N124">
        <v>12</v>
      </c>
      <c r="O124">
        <v>24.75</v>
      </c>
      <c r="P124">
        <v>22.972999999999999</v>
      </c>
      <c r="Q124">
        <v>1.777000000000001</v>
      </c>
      <c r="R124">
        <v>1000</v>
      </c>
      <c r="S124">
        <v>24</v>
      </c>
      <c r="T124">
        <v>1</v>
      </c>
      <c r="U124">
        <v>7.179797979797983</v>
      </c>
      <c r="V124">
        <v>16.666666666666661</v>
      </c>
    </row>
    <row r="125" spans="1:22" x14ac:dyDescent="0.3">
      <c r="A125">
        <v>124</v>
      </c>
      <c r="B125" t="s">
        <v>94</v>
      </c>
      <c r="C125" t="s">
        <v>113</v>
      </c>
      <c r="D125" t="s">
        <v>116</v>
      </c>
      <c r="E125" t="s">
        <v>115</v>
      </c>
      <c r="F125">
        <v>10</v>
      </c>
      <c r="G125">
        <v>0</v>
      </c>
      <c r="H125">
        <v>3</v>
      </c>
      <c r="I125">
        <v>2</v>
      </c>
      <c r="J125">
        <v>1</v>
      </c>
      <c r="K125">
        <v>3</v>
      </c>
      <c r="L125">
        <v>1</v>
      </c>
      <c r="M125">
        <v>0</v>
      </c>
      <c r="N125">
        <v>13</v>
      </c>
      <c r="O125">
        <v>24.75</v>
      </c>
      <c r="P125">
        <v>22.81</v>
      </c>
      <c r="Q125">
        <v>1.9400000000000011</v>
      </c>
      <c r="R125">
        <v>1000</v>
      </c>
      <c r="S125">
        <v>24</v>
      </c>
      <c r="T125">
        <v>1</v>
      </c>
      <c r="U125">
        <v>7.8383838383838427</v>
      </c>
      <c r="V125">
        <v>23.07692307692308</v>
      </c>
    </row>
    <row r="126" spans="1:22" x14ac:dyDescent="0.3">
      <c r="A126">
        <v>125</v>
      </c>
      <c r="B126" t="s">
        <v>94</v>
      </c>
      <c r="C126" t="s">
        <v>113</v>
      </c>
      <c r="D126" t="s">
        <v>116</v>
      </c>
      <c r="E126" t="s">
        <v>115</v>
      </c>
      <c r="F126">
        <v>10</v>
      </c>
      <c r="G126">
        <v>0</v>
      </c>
      <c r="H126">
        <v>2</v>
      </c>
      <c r="I126">
        <v>2</v>
      </c>
      <c r="J126">
        <v>1</v>
      </c>
      <c r="K126">
        <v>3</v>
      </c>
      <c r="L126">
        <v>0</v>
      </c>
      <c r="M126">
        <v>1</v>
      </c>
      <c r="N126">
        <v>12</v>
      </c>
      <c r="O126">
        <v>24.75</v>
      </c>
      <c r="P126">
        <v>23.198</v>
      </c>
      <c r="Q126">
        <v>1.552</v>
      </c>
      <c r="R126">
        <v>1000</v>
      </c>
      <c r="S126">
        <v>24</v>
      </c>
      <c r="T126">
        <v>1</v>
      </c>
      <c r="U126">
        <v>6.2707070707070693</v>
      </c>
      <c r="V126">
        <v>16.666666666666661</v>
      </c>
    </row>
    <row r="127" spans="1:22" x14ac:dyDescent="0.3">
      <c r="A127">
        <v>126</v>
      </c>
      <c r="B127" t="s">
        <v>94</v>
      </c>
      <c r="C127" t="s">
        <v>113</v>
      </c>
      <c r="D127" t="s">
        <v>116</v>
      </c>
      <c r="E127" t="s">
        <v>115</v>
      </c>
      <c r="F127">
        <v>10</v>
      </c>
      <c r="G127">
        <v>0</v>
      </c>
      <c r="H127">
        <v>3</v>
      </c>
      <c r="I127">
        <v>2</v>
      </c>
      <c r="J127">
        <v>1</v>
      </c>
      <c r="K127">
        <v>3</v>
      </c>
      <c r="L127">
        <v>1</v>
      </c>
      <c r="M127">
        <v>0</v>
      </c>
      <c r="N127">
        <v>13</v>
      </c>
      <c r="O127">
        <v>24.75</v>
      </c>
      <c r="P127">
        <v>22.859000000000002</v>
      </c>
      <c r="Q127">
        <v>1.890999999999998</v>
      </c>
      <c r="R127">
        <v>1000</v>
      </c>
      <c r="S127">
        <v>24</v>
      </c>
      <c r="T127">
        <v>1</v>
      </c>
      <c r="U127">
        <v>7.6404040404040332</v>
      </c>
      <c r="V127">
        <v>23.07692307692308</v>
      </c>
    </row>
    <row r="128" spans="1:22" x14ac:dyDescent="0.3">
      <c r="A128">
        <v>127</v>
      </c>
      <c r="B128" t="s">
        <v>94</v>
      </c>
      <c r="C128" t="s">
        <v>95</v>
      </c>
      <c r="D128">
        <v>37753564</v>
      </c>
      <c r="E128" t="s">
        <v>103</v>
      </c>
      <c r="F128">
        <v>7</v>
      </c>
      <c r="G128">
        <v>0</v>
      </c>
      <c r="H128">
        <v>1</v>
      </c>
      <c r="I128">
        <v>3</v>
      </c>
      <c r="J128">
        <v>2</v>
      </c>
      <c r="K128">
        <v>4</v>
      </c>
      <c r="L128">
        <v>-2</v>
      </c>
      <c r="M128">
        <v>1</v>
      </c>
      <c r="N128">
        <v>8</v>
      </c>
      <c r="O128">
        <v>24.75</v>
      </c>
      <c r="P128">
        <v>23.366</v>
      </c>
      <c r="Q128">
        <v>1.3839999999999999</v>
      </c>
      <c r="R128">
        <v>1000</v>
      </c>
      <c r="S128">
        <v>24</v>
      </c>
      <c r="T128">
        <v>1</v>
      </c>
      <c r="U128">
        <v>5.5919191919191933</v>
      </c>
      <c r="V128">
        <v>12.5</v>
      </c>
    </row>
    <row r="129" spans="1:22" x14ac:dyDescent="0.3">
      <c r="A129">
        <v>128</v>
      </c>
      <c r="B129" t="s">
        <v>94</v>
      </c>
      <c r="C129" t="s">
        <v>95</v>
      </c>
      <c r="D129">
        <v>37753564</v>
      </c>
      <c r="E129" t="s">
        <v>103</v>
      </c>
      <c r="F129">
        <v>7</v>
      </c>
      <c r="G129">
        <v>0</v>
      </c>
      <c r="H129">
        <v>2</v>
      </c>
      <c r="I129">
        <v>3</v>
      </c>
      <c r="J129">
        <v>2</v>
      </c>
      <c r="K129">
        <v>4</v>
      </c>
      <c r="L129">
        <v>-1</v>
      </c>
      <c r="M129">
        <v>1</v>
      </c>
      <c r="N129">
        <v>9</v>
      </c>
      <c r="O129">
        <v>20.289000000000001</v>
      </c>
      <c r="P129">
        <v>18.321000000000002</v>
      </c>
      <c r="Q129">
        <v>1.968</v>
      </c>
      <c r="R129">
        <v>1000</v>
      </c>
      <c r="S129">
        <v>20</v>
      </c>
      <c r="T129">
        <v>1</v>
      </c>
      <c r="U129">
        <v>9.6998373502883339</v>
      </c>
      <c r="V129">
        <v>22.222222222222221</v>
      </c>
    </row>
    <row r="130" spans="1:22" x14ac:dyDescent="0.3">
      <c r="A130">
        <v>129</v>
      </c>
      <c r="B130" t="s">
        <v>94</v>
      </c>
      <c r="C130" t="s">
        <v>95</v>
      </c>
      <c r="D130">
        <v>37753564</v>
      </c>
      <c r="E130" t="s">
        <v>103</v>
      </c>
      <c r="F130">
        <v>7</v>
      </c>
      <c r="G130">
        <v>0</v>
      </c>
      <c r="H130">
        <v>2</v>
      </c>
      <c r="I130">
        <v>3</v>
      </c>
      <c r="J130">
        <v>2</v>
      </c>
      <c r="K130">
        <v>4</v>
      </c>
      <c r="L130">
        <v>-1</v>
      </c>
      <c r="M130">
        <v>1</v>
      </c>
      <c r="N130">
        <v>9</v>
      </c>
      <c r="O130">
        <v>24.75</v>
      </c>
      <c r="P130">
        <v>23.024999999999999</v>
      </c>
      <c r="Q130">
        <v>1.725000000000001</v>
      </c>
      <c r="R130">
        <v>1000</v>
      </c>
      <c r="S130">
        <v>24</v>
      </c>
      <c r="T130">
        <v>1</v>
      </c>
      <c r="U130">
        <v>6.9696969696969759</v>
      </c>
      <c r="V130">
        <v>22.222222222222221</v>
      </c>
    </row>
    <row r="131" spans="1:22" x14ac:dyDescent="0.3">
      <c r="A131">
        <v>130</v>
      </c>
      <c r="B131" t="s">
        <v>98</v>
      </c>
      <c r="C131" t="s">
        <v>97</v>
      </c>
      <c r="D131">
        <v>37772763</v>
      </c>
      <c r="E131" t="s">
        <v>100</v>
      </c>
      <c r="F131">
        <v>65</v>
      </c>
      <c r="G131">
        <v>0</v>
      </c>
      <c r="H131">
        <v>2</v>
      </c>
      <c r="I131">
        <v>2</v>
      </c>
      <c r="J131">
        <v>1</v>
      </c>
      <c r="K131">
        <v>2</v>
      </c>
      <c r="L131">
        <v>0</v>
      </c>
      <c r="M131">
        <v>1</v>
      </c>
      <c r="N131">
        <v>67</v>
      </c>
      <c r="O131">
        <v>24.75</v>
      </c>
      <c r="P131">
        <v>22.024999999999999</v>
      </c>
      <c r="Q131">
        <v>2.725000000000001</v>
      </c>
      <c r="R131">
        <v>1000</v>
      </c>
      <c r="S131">
        <v>24</v>
      </c>
      <c r="T131">
        <v>2</v>
      </c>
      <c r="U131">
        <v>11.010101010101019</v>
      </c>
      <c r="V131">
        <v>2.9850746268656709</v>
      </c>
    </row>
    <row r="132" spans="1:22" x14ac:dyDescent="0.3">
      <c r="A132">
        <v>131</v>
      </c>
      <c r="B132" t="s">
        <v>98</v>
      </c>
      <c r="C132" t="s">
        <v>97</v>
      </c>
      <c r="D132">
        <v>37772763</v>
      </c>
      <c r="E132" t="s">
        <v>100</v>
      </c>
      <c r="F132">
        <v>65</v>
      </c>
      <c r="G132">
        <v>0</v>
      </c>
      <c r="H132">
        <v>2</v>
      </c>
      <c r="I132">
        <v>2</v>
      </c>
      <c r="J132">
        <v>1</v>
      </c>
      <c r="K132">
        <v>2</v>
      </c>
      <c r="L132">
        <v>0</v>
      </c>
      <c r="M132">
        <v>1</v>
      </c>
      <c r="N132">
        <v>67</v>
      </c>
      <c r="O132">
        <v>24.75</v>
      </c>
      <c r="P132">
        <v>23.087</v>
      </c>
      <c r="Q132">
        <v>1.663</v>
      </c>
      <c r="R132">
        <v>50</v>
      </c>
      <c r="S132">
        <v>495</v>
      </c>
      <c r="T132">
        <v>33</v>
      </c>
      <c r="U132">
        <v>6.7191919191919203</v>
      </c>
      <c r="V132">
        <v>2.9850746268656709</v>
      </c>
    </row>
    <row r="133" spans="1:22" x14ac:dyDescent="0.3">
      <c r="A133">
        <v>132</v>
      </c>
      <c r="B133" t="s">
        <v>98</v>
      </c>
      <c r="C133" t="s">
        <v>97</v>
      </c>
      <c r="D133">
        <v>37772763</v>
      </c>
      <c r="E133" t="s">
        <v>100</v>
      </c>
      <c r="F133">
        <v>65</v>
      </c>
      <c r="G133">
        <v>0</v>
      </c>
      <c r="H133">
        <v>2</v>
      </c>
      <c r="I133">
        <v>2</v>
      </c>
      <c r="J133">
        <v>1</v>
      </c>
      <c r="K133">
        <v>2</v>
      </c>
      <c r="L133">
        <v>0</v>
      </c>
      <c r="M133">
        <v>1</v>
      </c>
      <c r="N133">
        <v>67</v>
      </c>
      <c r="O133">
        <v>24.75</v>
      </c>
      <c r="P133">
        <v>23.045000000000002</v>
      </c>
      <c r="Q133">
        <v>1.7049999999999981</v>
      </c>
      <c r="R133">
        <v>50</v>
      </c>
      <c r="S133">
        <v>495</v>
      </c>
      <c r="T133">
        <v>34</v>
      </c>
      <c r="U133">
        <v>6.8888888888888822</v>
      </c>
      <c r="V133">
        <v>2.9850746268656709</v>
      </c>
    </row>
    <row r="134" spans="1:22" x14ac:dyDescent="0.3">
      <c r="A134">
        <v>133</v>
      </c>
      <c r="B134" t="s">
        <v>94</v>
      </c>
      <c r="C134" t="s">
        <v>97</v>
      </c>
      <c r="D134">
        <v>37845996</v>
      </c>
      <c r="E134" t="s">
        <v>103</v>
      </c>
      <c r="F134">
        <v>3</v>
      </c>
      <c r="G134">
        <v>12</v>
      </c>
      <c r="H134">
        <v>2</v>
      </c>
      <c r="I134">
        <v>3</v>
      </c>
      <c r="J134">
        <v>2</v>
      </c>
      <c r="K134">
        <v>5</v>
      </c>
      <c r="L134">
        <v>-1</v>
      </c>
      <c r="M134">
        <v>1</v>
      </c>
      <c r="N134">
        <v>17</v>
      </c>
      <c r="O134">
        <v>24.75</v>
      </c>
      <c r="P134">
        <v>22.524999999999999</v>
      </c>
      <c r="Q134">
        <v>2.225000000000001</v>
      </c>
      <c r="R134">
        <v>50</v>
      </c>
      <c r="S134">
        <v>495</v>
      </c>
      <c r="T134">
        <v>44</v>
      </c>
      <c r="U134">
        <v>8.9898989898989949</v>
      </c>
      <c r="V134">
        <v>11.76470588235294</v>
      </c>
    </row>
    <row r="135" spans="1:22" x14ac:dyDescent="0.3">
      <c r="A135">
        <v>134</v>
      </c>
      <c r="B135" t="s">
        <v>94</v>
      </c>
      <c r="C135" t="s">
        <v>97</v>
      </c>
      <c r="D135">
        <v>37845996</v>
      </c>
      <c r="E135" t="s">
        <v>103</v>
      </c>
      <c r="F135">
        <v>3</v>
      </c>
      <c r="G135">
        <v>12</v>
      </c>
      <c r="H135">
        <v>4</v>
      </c>
      <c r="I135">
        <v>3</v>
      </c>
      <c r="J135">
        <v>2</v>
      </c>
      <c r="K135">
        <v>5</v>
      </c>
      <c r="L135">
        <v>1</v>
      </c>
      <c r="M135">
        <v>0</v>
      </c>
      <c r="N135">
        <v>19</v>
      </c>
      <c r="O135">
        <v>24.75</v>
      </c>
      <c r="P135">
        <v>23.451000000000001</v>
      </c>
      <c r="Q135">
        <v>1.298999999999999</v>
      </c>
      <c r="R135">
        <v>25</v>
      </c>
      <c r="S135">
        <v>990</v>
      </c>
      <c r="T135">
        <v>51</v>
      </c>
      <c r="U135">
        <v>5.2484848484848463</v>
      </c>
      <c r="V135">
        <v>21.05263157894737</v>
      </c>
    </row>
    <row r="136" spans="1:22" x14ac:dyDescent="0.3">
      <c r="A136">
        <v>135</v>
      </c>
      <c r="B136" t="s">
        <v>94</v>
      </c>
      <c r="C136" t="s">
        <v>97</v>
      </c>
      <c r="D136">
        <v>37855528</v>
      </c>
      <c r="E136" t="s">
        <v>103</v>
      </c>
      <c r="F136">
        <v>3</v>
      </c>
      <c r="G136">
        <v>10</v>
      </c>
      <c r="H136">
        <v>5</v>
      </c>
      <c r="I136">
        <v>3</v>
      </c>
      <c r="J136">
        <v>2</v>
      </c>
      <c r="K136">
        <v>5</v>
      </c>
      <c r="L136">
        <v>2</v>
      </c>
      <c r="M136">
        <v>0</v>
      </c>
      <c r="N136">
        <v>18</v>
      </c>
      <c r="O136">
        <v>24.75</v>
      </c>
      <c r="P136">
        <v>22.690999999999999</v>
      </c>
      <c r="Q136">
        <v>2.0590000000000011</v>
      </c>
      <c r="R136">
        <v>25</v>
      </c>
      <c r="S136">
        <v>990</v>
      </c>
      <c r="T136">
        <v>82</v>
      </c>
      <c r="U136">
        <v>8.3191919191919226</v>
      </c>
      <c r="V136">
        <v>27.777777777777779</v>
      </c>
    </row>
    <row r="137" spans="1:22" x14ac:dyDescent="0.3">
      <c r="A137">
        <v>136</v>
      </c>
      <c r="B137" t="s">
        <v>94</v>
      </c>
      <c r="C137" t="s">
        <v>97</v>
      </c>
      <c r="D137">
        <v>37855528</v>
      </c>
      <c r="E137" t="s">
        <v>103</v>
      </c>
      <c r="F137">
        <v>3</v>
      </c>
      <c r="G137">
        <v>10</v>
      </c>
      <c r="H137">
        <v>3</v>
      </c>
      <c r="I137">
        <v>3</v>
      </c>
      <c r="J137">
        <v>2</v>
      </c>
      <c r="K137">
        <v>5</v>
      </c>
      <c r="L137">
        <v>0</v>
      </c>
      <c r="M137">
        <v>1</v>
      </c>
      <c r="N137">
        <v>16</v>
      </c>
      <c r="O137">
        <v>24.75</v>
      </c>
      <c r="P137">
        <v>22.834</v>
      </c>
      <c r="Q137">
        <v>1.9159999999999999</v>
      </c>
      <c r="R137">
        <v>25</v>
      </c>
      <c r="S137">
        <v>990</v>
      </c>
      <c r="T137">
        <v>76</v>
      </c>
      <c r="U137">
        <v>7.7414141414141433</v>
      </c>
      <c r="V137">
        <v>18.75</v>
      </c>
    </row>
    <row r="138" spans="1:22" x14ac:dyDescent="0.3">
      <c r="A138">
        <v>137</v>
      </c>
      <c r="B138" t="s">
        <v>94</v>
      </c>
      <c r="C138" t="s">
        <v>97</v>
      </c>
      <c r="D138" t="s">
        <v>117</v>
      </c>
      <c r="E138" t="s">
        <v>103</v>
      </c>
      <c r="F138">
        <v>3</v>
      </c>
      <c r="G138">
        <v>10</v>
      </c>
      <c r="H138">
        <v>3</v>
      </c>
      <c r="I138">
        <v>3</v>
      </c>
      <c r="J138">
        <v>2</v>
      </c>
      <c r="K138">
        <v>5</v>
      </c>
      <c r="L138">
        <v>0</v>
      </c>
      <c r="M138">
        <v>1</v>
      </c>
      <c r="N138">
        <v>16</v>
      </c>
      <c r="O138">
        <v>24.75</v>
      </c>
      <c r="P138">
        <v>22.77</v>
      </c>
      <c r="Q138">
        <v>1.98</v>
      </c>
      <c r="R138">
        <v>50</v>
      </c>
      <c r="S138">
        <v>495</v>
      </c>
      <c r="T138">
        <v>39</v>
      </c>
      <c r="U138">
        <v>8.0000000000000018</v>
      </c>
      <c r="V138">
        <v>18.75</v>
      </c>
    </row>
    <row r="139" spans="1:22" x14ac:dyDescent="0.3">
      <c r="A139">
        <v>138</v>
      </c>
      <c r="B139" t="s">
        <v>118</v>
      </c>
      <c r="C139" t="s">
        <v>97</v>
      </c>
      <c r="D139">
        <v>37856295</v>
      </c>
      <c r="E139" t="s">
        <v>107</v>
      </c>
      <c r="F139">
        <v>4</v>
      </c>
      <c r="G139">
        <v>14</v>
      </c>
      <c r="H139">
        <v>5</v>
      </c>
      <c r="I139">
        <v>3</v>
      </c>
      <c r="J139">
        <v>2</v>
      </c>
      <c r="K139">
        <v>4</v>
      </c>
      <c r="L139">
        <v>2</v>
      </c>
      <c r="M139">
        <v>0</v>
      </c>
      <c r="N139">
        <v>23</v>
      </c>
      <c r="O139">
        <v>21.811</v>
      </c>
      <c r="P139">
        <v>20.145</v>
      </c>
      <c r="Q139">
        <v>1.6659999999999999</v>
      </c>
      <c r="R139">
        <v>50</v>
      </c>
      <c r="S139">
        <v>436</v>
      </c>
      <c r="T139">
        <v>33</v>
      </c>
      <c r="U139">
        <v>7.6383476227591602</v>
      </c>
      <c r="V139">
        <v>21.739130434782609</v>
      </c>
    </row>
    <row r="140" spans="1:22" x14ac:dyDescent="0.3">
      <c r="A140">
        <v>139</v>
      </c>
      <c r="B140" t="s">
        <v>118</v>
      </c>
      <c r="C140" t="s">
        <v>97</v>
      </c>
      <c r="D140">
        <v>37856295</v>
      </c>
      <c r="E140" t="s">
        <v>107</v>
      </c>
      <c r="F140">
        <v>4</v>
      </c>
      <c r="G140">
        <v>14</v>
      </c>
      <c r="H140">
        <v>3</v>
      </c>
      <c r="I140">
        <v>3</v>
      </c>
      <c r="J140">
        <v>2</v>
      </c>
      <c r="K140">
        <v>4</v>
      </c>
      <c r="L140">
        <v>0</v>
      </c>
      <c r="M140">
        <v>1</v>
      </c>
      <c r="N140">
        <v>21</v>
      </c>
      <c r="O140">
        <v>24.75</v>
      </c>
      <c r="P140">
        <v>23.055</v>
      </c>
      <c r="Q140">
        <v>1.6950000000000001</v>
      </c>
      <c r="R140">
        <v>50</v>
      </c>
      <c r="S140">
        <v>495</v>
      </c>
      <c r="T140">
        <v>33</v>
      </c>
      <c r="U140">
        <v>6.8484848484848504</v>
      </c>
      <c r="V140">
        <v>14.285714285714279</v>
      </c>
    </row>
    <row r="141" spans="1:22" x14ac:dyDescent="0.3">
      <c r="A141">
        <v>140</v>
      </c>
      <c r="B141" t="s">
        <v>118</v>
      </c>
      <c r="C141" t="s">
        <v>97</v>
      </c>
      <c r="D141">
        <v>37856295</v>
      </c>
      <c r="E141" t="s">
        <v>107</v>
      </c>
      <c r="F141">
        <v>4</v>
      </c>
      <c r="G141">
        <v>14</v>
      </c>
      <c r="H141">
        <v>3</v>
      </c>
      <c r="I141">
        <v>3</v>
      </c>
      <c r="J141">
        <v>2</v>
      </c>
      <c r="K141">
        <v>4</v>
      </c>
      <c r="L141">
        <v>0</v>
      </c>
      <c r="M141">
        <v>1</v>
      </c>
      <c r="N141">
        <v>21</v>
      </c>
      <c r="O141">
        <v>22.346</v>
      </c>
      <c r="P141">
        <v>20.975999999999999</v>
      </c>
      <c r="Q141">
        <v>1.370000000000001</v>
      </c>
      <c r="R141">
        <v>50</v>
      </c>
      <c r="S141">
        <v>446</v>
      </c>
      <c r="T141">
        <v>27</v>
      </c>
      <c r="U141">
        <v>6.1308511590441288</v>
      </c>
      <c r="V141">
        <v>14.285714285714279</v>
      </c>
    </row>
    <row r="142" spans="1:22" x14ac:dyDescent="0.3">
      <c r="A142">
        <v>141</v>
      </c>
      <c r="B142" t="s">
        <v>94</v>
      </c>
      <c r="C142" t="s">
        <v>95</v>
      </c>
      <c r="D142">
        <v>37862096</v>
      </c>
      <c r="E142" t="s">
        <v>102</v>
      </c>
      <c r="F142">
        <v>6</v>
      </c>
      <c r="G142">
        <v>2</v>
      </c>
      <c r="H142">
        <v>3</v>
      </c>
      <c r="I142">
        <v>3</v>
      </c>
      <c r="J142">
        <v>2</v>
      </c>
      <c r="K142">
        <v>4</v>
      </c>
      <c r="L142">
        <v>0</v>
      </c>
      <c r="M142">
        <v>1</v>
      </c>
      <c r="N142">
        <v>11</v>
      </c>
      <c r="O142">
        <v>21.308</v>
      </c>
      <c r="P142">
        <v>19.626999999999999</v>
      </c>
      <c r="Q142">
        <v>1.6810000000000009</v>
      </c>
      <c r="R142">
        <v>50</v>
      </c>
      <c r="S142">
        <v>426</v>
      </c>
      <c r="T142">
        <v>33</v>
      </c>
      <c r="U142">
        <v>7.8890557537075319</v>
      </c>
      <c r="V142">
        <v>27.27272727272727</v>
      </c>
    </row>
    <row r="143" spans="1:22" x14ac:dyDescent="0.3">
      <c r="A143">
        <v>142</v>
      </c>
      <c r="B143" t="s">
        <v>94</v>
      </c>
      <c r="C143" t="s">
        <v>95</v>
      </c>
      <c r="D143">
        <v>37862096</v>
      </c>
      <c r="E143" t="s">
        <v>102</v>
      </c>
      <c r="F143">
        <v>6</v>
      </c>
      <c r="G143">
        <v>2</v>
      </c>
      <c r="H143">
        <v>3</v>
      </c>
      <c r="I143">
        <v>3</v>
      </c>
      <c r="J143">
        <v>2</v>
      </c>
      <c r="K143">
        <v>4</v>
      </c>
      <c r="L143">
        <v>0</v>
      </c>
      <c r="M143">
        <v>1</v>
      </c>
      <c r="N143">
        <v>11</v>
      </c>
      <c r="O143">
        <v>24.75</v>
      </c>
      <c r="P143">
        <v>21.54</v>
      </c>
      <c r="Q143">
        <v>3.2100000000000009</v>
      </c>
      <c r="R143">
        <v>20</v>
      </c>
      <c r="S143">
        <v>1237</v>
      </c>
      <c r="T143">
        <v>160</v>
      </c>
      <c r="U143">
        <v>12.969696969696971</v>
      </c>
      <c r="V143">
        <v>27.27272727272727</v>
      </c>
    </row>
    <row r="144" spans="1:22" x14ac:dyDescent="0.3">
      <c r="A144">
        <v>143</v>
      </c>
      <c r="B144" t="s">
        <v>94</v>
      </c>
      <c r="C144" t="s">
        <v>95</v>
      </c>
      <c r="D144">
        <v>37862096</v>
      </c>
      <c r="E144" t="s">
        <v>102</v>
      </c>
      <c r="F144">
        <v>6</v>
      </c>
      <c r="G144">
        <v>2</v>
      </c>
      <c r="H144">
        <v>4</v>
      </c>
      <c r="I144">
        <v>3</v>
      </c>
      <c r="J144">
        <v>2</v>
      </c>
      <c r="K144">
        <v>4</v>
      </c>
      <c r="L144">
        <v>1</v>
      </c>
      <c r="M144">
        <v>0</v>
      </c>
      <c r="N144">
        <v>12</v>
      </c>
      <c r="O144">
        <v>24.75</v>
      </c>
      <c r="P144">
        <v>23.463000000000001</v>
      </c>
      <c r="Q144">
        <v>1.286999999999999</v>
      </c>
      <c r="R144">
        <v>20</v>
      </c>
      <c r="S144">
        <v>1237</v>
      </c>
      <c r="T144">
        <v>64</v>
      </c>
      <c r="U144">
        <v>5.1999999999999966</v>
      </c>
      <c r="V144">
        <v>33.333333333333329</v>
      </c>
    </row>
    <row r="145" spans="1:22" x14ac:dyDescent="0.3">
      <c r="A145">
        <v>144</v>
      </c>
      <c r="B145" t="s">
        <v>118</v>
      </c>
      <c r="C145" t="s">
        <v>97</v>
      </c>
      <c r="D145">
        <v>37863933</v>
      </c>
      <c r="E145" t="s">
        <v>107</v>
      </c>
      <c r="F145">
        <v>12</v>
      </c>
      <c r="G145">
        <v>0</v>
      </c>
      <c r="H145">
        <v>3</v>
      </c>
      <c r="I145">
        <v>3</v>
      </c>
      <c r="J145">
        <v>2</v>
      </c>
      <c r="K145">
        <v>4</v>
      </c>
      <c r="L145">
        <v>0</v>
      </c>
      <c r="M145">
        <v>1</v>
      </c>
      <c r="N145">
        <v>15</v>
      </c>
      <c r="O145">
        <v>20.459</v>
      </c>
      <c r="P145">
        <v>19.312999999999999</v>
      </c>
      <c r="Q145">
        <v>1.146000000000001</v>
      </c>
      <c r="R145">
        <v>20</v>
      </c>
      <c r="S145">
        <v>1022</v>
      </c>
      <c r="T145">
        <v>57</v>
      </c>
      <c r="U145">
        <v>5.601446796031091</v>
      </c>
      <c r="V145">
        <v>20</v>
      </c>
    </row>
    <row r="146" spans="1:22" x14ac:dyDescent="0.3">
      <c r="A146">
        <v>145</v>
      </c>
      <c r="B146" t="s">
        <v>118</v>
      </c>
      <c r="C146" t="s">
        <v>97</v>
      </c>
      <c r="D146">
        <v>37863933</v>
      </c>
      <c r="E146" t="s">
        <v>107</v>
      </c>
      <c r="F146">
        <v>12</v>
      </c>
      <c r="G146">
        <v>0</v>
      </c>
      <c r="H146">
        <v>2</v>
      </c>
      <c r="I146">
        <v>3</v>
      </c>
      <c r="J146">
        <v>2</v>
      </c>
      <c r="K146">
        <v>4</v>
      </c>
      <c r="L146">
        <v>-1</v>
      </c>
      <c r="M146">
        <v>1</v>
      </c>
      <c r="N146">
        <v>14</v>
      </c>
      <c r="O146">
        <v>24.75</v>
      </c>
      <c r="P146">
        <v>23.082000000000001</v>
      </c>
      <c r="Q146">
        <v>1.667999999999999</v>
      </c>
      <c r="R146">
        <v>25</v>
      </c>
      <c r="S146">
        <v>990</v>
      </c>
      <c r="T146">
        <v>66</v>
      </c>
      <c r="U146">
        <v>6.7393939393939366</v>
      </c>
      <c r="V146">
        <v>14.285714285714279</v>
      </c>
    </row>
    <row r="147" spans="1:22" x14ac:dyDescent="0.3">
      <c r="A147">
        <v>146</v>
      </c>
      <c r="B147" t="s">
        <v>94</v>
      </c>
      <c r="C147" t="s">
        <v>97</v>
      </c>
      <c r="D147">
        <v>37866241</v>
      </c>
      <c r="E147" t="s">
        <v>102</v>
      </c>
      <c r="F147">
        <v>7</v>
      </c>
      <c r="G147">
        <v>1</v>
      </c>
      <c r="H147">
        <v>3</v>
      </c>
      <c r="I147">
        <v>3</v>
      </c>
      <c r="J147">
        <v>2</v>
      </c>
      <c r="K147">
        <v>5</v>
      </c>
      <c r="L147">
        <v>0</v>
      </c>
      <c r="M147">
        <v>1</v>
      </c>
      <c r="N147">
        <v>11</v>
      </c>
      <c r="O147">
        <v>24.75</v>
      </c>
      <c r="P147">
        <v>22.312000000000001</v>
      </c>
      <c r="Q147">
        <v>2.4379999999999988</v>
      </c>
      <c r="R147">
        <v>25</v>
      </c>
      <c r="S147">
        <v>990</v>
      </c>
      <c r="T147">
        <v>97</v>
      </c>
      <c r="U147">
        <v>9.8505050505050455</v>
      </c>
      <c r="V147">
        <v>27.27272727272727</v>
      </c>
    </row>
    <row r="148" spans="1:22" x14ac:dyDescent="0.3">
      <c r="A148">
        <v>147</v>
      </c>
      <c r="B148" t="s">
        <v>94</v>
      </c>
      <c r="C148" t="s">
        <v>97</v>
      </c>
      <c r="D148">
        <v>37866241</v>
      </c>
      <c r="E148" t="s">
        <v>102</v>
      </c>
      <c r="F148">
        <v>7</v>
      </c>
      <c r="G148">
        <v>1</v>
      </c>
      <c r="H148">
        <v>2</v>
      </c>
      <c r="I148">
        <v>3</v>
      </c>
      <c r="J148">
        <v>2</v>
      </c>
      <c r="K148">
        <v>5</v>
      </c>
      <c r="L148">
        <v>-1</v>
      </c>
      <c r="M148">
        <v>1</v>
      </c>
      <c r="N148">
        <v>10</v>
      </c>
      <c r="O148">
        <v>24.75</v>
      </c>
      <c r="P148">
        <v>23.206</v>
      </c>
      <c r="Q148">
        <v>1.544</v>
      </c>
      <c r="R148">
        <v>25</v>
      </c>
      <c r="S148">
        <v>990</v>
      </c>
      <c r="T148">
        <v>61</v>
      </c>
      <c r="U148">
        <v>6.2383838383838404</v>
      </c>
      <c r="V148">
        <v>20</v>
      </c>
    </row>
    <row r="149" spans="1:22" x14ac:dyDescent="0.3">
      <c r="A149">
        <v>148</v>
      </c>
      <c r="B149" t="s">
        <v>94</v>
      </c>
      <c r="C149" t="s">
        <v>97</v>
      </c>
      <c r="D149">
        <v>37873495</v>
      </c>
      <c r="E149" t="s">
        <v>102</v>
      </c>
      <c r="F149">
        <v>4</v>
      </c>
      <c r="G149">
        <v>1</v>
      </c>
      <c r="H149">
        <v>4</v>
      </c>
      <c r="I149">
        <v>3</v>
      </c>
      <c r="J149">
        <v>2</v>
      </c>
      <c r="K149">
        <v>5</v>
      </c>
      <c r="L149">
        <v>1</v>
      </c>
      <c r="M149">
        <v>0</v>
      </c>
      <c r="N149">
        <v>9</v>
      </c>
      <c r="O149">
        <v>24.75</v>
      </c>
      <c r="P149">
        <v>22.431000000000001</v>
      </c>
      <c r="Q149">
        <v>2.3189999999999991</v>
      </c>
      <c r="R149">
        <v>20</v>
      </c>
      <c r="S149">
        <v>1237</v>
      </c>
      <c r="T149">
        <v>115</v>
      </c>
      <c r="U149">
        <v>9.3696969696969656</v>
      </c>
      <c r="V149">
        <v>44.444444444444443</v>
      </c>
    </row>
    <row r="150" spans="1:22" x14ac:dyDescent="0.3">
      <c r="A150">
        <v>149</v>
      </c>
      <c r="B150" t="s">
        <v>94</v>
      </c>
      <c r="C150" t="s">
        <v>97</v>
      </c>
      <c r="D150">
        <v>37873495</v>
      </c>
      <c r="E150" t="s">
        <v>102</v>
      </c>
      <c r="F150">
        <v>4</v>
      </c>
      <c r="G150">
        <v>1</v>
      </c>
      <c r="H150">
        <v>3</v>
      </c>
      <c r="I150">
        <v>3</v>
      </c>
      <c r="J150">
        <v>2</v>
      </c>
      <c r="K150">
        <v>5</v>
      </c>
      <c r="L150">
        <v>0</v>
      </c>
      <c r="M150">
        <v>1</v>
      </c>
      <c r="N150">
        <v>8</v>
      </c>
      <c r="O150">
        <v>22.446999999999999</v>
      </c>
      <c r="P150">
        <v>19.672999999999998</v>
      </c>
      <c r="Q150">
        <v>2.7740000000000009</v>
      </c>
      <c r="R150">
        <v>20</v>
      </c>
      <c r="S150">
        <v>1122</v>
      </c>
      <c r="T150">
        <v>138</v>
      </c>
      <c r="U150">
        <v>12.35799884171605</v>
      </c>
      <c r="V150">
        <v>37.5</v>
      </c>
    </row>
    <row r="151" spans="1:22" x14ac:dyDescent="0.3">
      <c r="A151">
        <v>150</v>
      </c>
      <c r="B151" t="s">
        <v>94</v>
      </c>
      <c r="C151" t="s">
        <v>97</v>
      </c>
      <c r="D151">
        <v>37873495</v>
      </c>
      <c r="E151" t="s">
        <v>102</v>
      </c>
      <c r="F151">
        <v>4</v>
      </c>
      <c r="G151">
        <v>0</v>
      </c>
      <c r="H151">
        <v>5</v>
      </c>
      <c r="I151">
        <v>3</v>
      </c>
      <c r="J151">
        <v>2</v>
      </c>
      <c r="K151">
        <v>5</v>
      </c>
      <c r="L151">
        <v>2</v>
      </c>
      <c r="M151">
        <v>0</v>
      </c>
      <c r="N151">
        <v>9</v>
      </c>
      <c r="O151">
        <v>23.204999999999998</v>
      </c>
      <c r="P151">
        <v>21.834</v>
      </c>
      <c r="Q151">
        <v>1.3709999999999991</v>
      </c>
      <c r="R151">
        <v>25</v>
      </c>
      <c r="S151">
        <v>928</v>
      </c>
      <c r="T151">
        <v>54</v>
      </c>
      <c r="U151">
        <v>5.9082094376211973</v>
      </c>
      <c r="V151">
        <v>55.555555555555557</v>
      </c>
    </row>
    <row r="152" spans="1:22" x14ac:dyDescent="0.3">
      <c r="A152">
        <v>151</v>
      </c>
      <c r="B152" t="s">
        <v>94</v>
      </c>
      <c r="C152" t="s">
        <v>95</v>
      </c>
      <c r="D152">
        <v>37873495</v>
      </c>
      <c r="E152" t="s">
        <v>102</v>
      </c>
      <c r="F152">
        <v>4</v>
      </c>
      <c r="G152">
        <v>1</v>
      </c>
      <c r="H152">
        <v>2</v>
      </c>
      <c r="I152">
        <v>3</v>
      </c>
      <c r="J152">
        <v>2</v>
      </c>
      <c r="K152">
        <v>4</v>
      </c>
      <c r="L152">
        <v>-1</v>
      </c>
      <c r="M152">
        <v>1</v>
      </c>
      <c r="N152">
        <v>7</v>
      </c>
      <c r="O152">
        <v>24.75</v>
      </c>
      <c r="P152">
        <v>23.074000000000002</v>
      </c>
      <c r="Q152">
        <v>1.6759999999999979</v>
      </c>
      <c r="R152">
        <v>25</v>
      </c>
      <c r="S152">
        <v>990</v>
      </c>
      <c r="T152">
        <v>67</v>
      </c>
      <c r="U152">
        <v>6.7717171717171647</v>
      </c>
      <c r="V152">
        <v>28.571428571428569</v>
      </c>
    </row>
    <row r="153" spans="1:22" x14ac:dyDescent="0.3">
      <c r="A153">
        <v>152</v>
      </c>
      <c r="B153" t="s">
        <v>94</v>
      </c>
      <c r="C153" t="s">
        <v>95</v>
      </c>
      <c r="D153">
        <v>37873495</v>
      </c>
      <c r="E153" t="s">
        <v>102</v>
      </c>
      <c r="F153">
        <v>4</v>
      </c>
      <c r="G153">
        <v>1</v>
      </c>
      <c r="H153">
        <v>2</v>
      </c>
      <c r="I153">
        <v>3</v>
      </c>
      <c r="J153">
        <v>2</v>
      </c>
      <c r="K153">
        <v>4</v>
      </c>
      <c r="L153">
        <v>-1</v>
      </c>
      <c r="M153">
        <v>1</v>
      </c>
      <c r="N153">
        <v>7</v>
      </c>
      <c r="O153">
        <v>24.75</v>
      </c>
      <c r="P153">
        <v>23.071999999999999</v>
      </c>
      <c r="Q153">
        <v>1.678000000000001</v>
      </c>
      <c r="R153">
        <v>25</v>
      </c>
      <c r="S153">
        <v>990</v>
      </c>
      <c r="T153">
        <v>67</v>
      </c>
      <c r="U153">
        <v>6.7797979797979826</v>
      </c>
      <c r="V153">
        <v>28.571428571428569</v>
      </c>
    </row>
    <row r="154" spans="1:22" x14ac:dyDescent="0.3">
      <c r="A154">
        <v>153</v>
      </c>
      <c r="B154" t="s">
        <v>94</v>
      </c>
      <c r="C154" t="s">
        <v>95</v>
      </c>
      <c r="D154">
        <v>37873495</v>
      </c>
      <c r="E154" t="s">
        <v>102</v>
      </c>
      <c r="F154">
        <v>4</v>
      </c>
      <c r="G154">
        <v>1</v>
      </c>
      <c r="H154">
        <v>1</v>
      </c>
      <c r="I154">
        <v>3</v>
      </c>
      <c r="J154">
        <v>2</v>
      </c>
      <c r="K154">
        <v>4</v>
      </c>
      <c r="L154">
        <v>-2</v>
      </c>
      <c r="M154">
        <v>1</v>
      </c>
      <c r="N154">
        <v>6</v>
      </c>
      <c r="O154">
        <v>24.75</v>
      </c>
      <c r="P154">
        <v>22.643999999999998</v>
      </c>
      <c r="Q154">
        <v>2.1060000000000021</v>
      </c>
      <c r="R154">
        <v>25</v>
      </c>
      <c r="S154">
        <v>990</v>
      </c>
      <c r="T154">
        <v>84</v>
      </c>
      <c r="U154">
        <v>8.5090909090909168</v>
      </c>
      <c r="V154">
        <v>16.666666666666661</v>
      </c>
    </row>
    <row r="155" spans="1:22" x14ac:dyDescent="0.3">
      <c r="A155">
        <v>154</v>
      </c>
      <c r="B155" t="s">
        <v>98</v>
      </c>
      <c r="C155" t="s">
        <v>119</v>
      </c>
      <c r="D155">
        <v>37886235</v>
      </c>
      <c r="E155" t="s">
        <v>100</v>
      </c>
      <c r="F155">
        <v>14</v>
      </c>
      <c r="G155">
        <v>29</v>
      </c>
      <c r="H155">
        <v>3</v>
      </c>
      <c r="I155">
        <v>2</v>
      </c>
      <c r="J155">
        <v>1</v>
      </c>
      <c r="K155">
        <v>2</v>
      </c>
      <c r="L155">
        <v>1</v>
      </c>
      <c r="M155">
        <v>0</v>
      </c>
      <c r="N155">
        <v>46</v>
      </c>
      <c r="O155">
        <v>24.75</v>
      </c>
      <c r="P155">
        <v>22.535</v>
      </c>
      <c r="Q155">
        <v>2.2149999999999999</v>
      </c>
      <c r="R155">
        <v>25</v>
      </c>
      <c r="S155">
        <v>990</v>
      </c>
      <c r="T155">
        <v>88</v>
      </c>
      <c r="U155">
        <v>8.9494949494949481</v>
      </c>
      <c r="V155">
        <v>6.5217391304347823</v>
      </c>
    </row>
    <row r="156" spans="1:22" x14ac:dyDescent="0.3">
      <c r="A156">
        <v>155</v>
      </c>
      <c r="B156" t="s">
        <v>98</v>
      </c>
      <c r="C156" t="s">
        <v>119</v>
      </c>
      <c r="D156">
        <v>37886235</v>
      </c>
      <c r="E156" t="s">
        <v>100</v>
      </c>
      <c r="F156">
        <v>14</v>
      </c>
      <c r="G156">
        <v>29</v>
      </c>
      <c r="H156">
        <v>3</v>
      </c>
      <c r="I156">
        <v>2</v>
      </c>
      <c r="J156">
        <v>1</v>
      </c>
      <c r="K156">
        <v>2</v>
      </c>
      <c r="L156">
        <v>1</v>
      </c>
      <c r="M156">
        <v>0</v>
      </c>
      <c r="N156">
        <v>46</v>
      </c>
      <c r="O156">
        <v>23.890999999999998</v>
      </c>
      <c r="P156">
        <v>22.553000000000001</v>
      </c>
      <c r="Q156">
        <v>1.337999999999997</v>
      </c>
      <c r="R156">
        <v>25</v>
      </c>
      <c r="S156">
        <v>955</v>
      </c>
      <c r="T156">
        <v>53</v>
      </c>
      <c r="U156">
        <v>5.600435310367911</v>
      </c>
      <c r="V156">
        <v>6.5217391304347823</v>
      </c>
    </row>
    <row r="157" spans="1:22" x14ac:dyDescent="0.3">
      <c r="A157">
        <v>156</v>
      </c>
      <c r="B157" t="s">
        <v>98</v>
      </c>
      <c r="C157" t="s">
        <v>119</v>
      </c>
      <c r="D157">
        <v>37886235</v>
      </c>
      <c r="E157" t="s">
        <v>100</v>
      </c>
      <c r="F157">
        <v>14</v>
      </c>
      <c r="G157">
        <v>29</v>
      </c>
      <c r="H157">
        <v>3</v>
      </c>
      <c r="I157">
        <v>2</v>
      </c>
      <c r="J157">
        <v>1</v>
      </c>
      <c r="K157">
        <v>2</v>
      </c>
      <c r="L157">
        <v>1</v>
      </c>
      <c r="M157">
        <v>0</v>
      </c>
      <c r="N157">
        <v>46</v>
      </c>
      <c r="O157">
        <v>24.75</v>
      </c>
      <c r="P157">
        <v>23.404</v>
      </c>
      <c r="Q157">
        <v>1.3460000000000001</v>
      </c>
      <c r="R157">
        <v>25</v>
      </c>
      <c r="S157">
        <v>990</v>
      </c>
      <c r="T157">
        <v>53</v>
      </c>
      <c r="U157">
        <v>5.4383838383838388</v>
      </c>
      <c r="V157">
        <v>6.5217391304347823</v>
      </c>
    </row>
    <row r="158" spans="1:22" x14ac:dyDescent="0.3">
      <c r="A158">
        <v>157</v>
      </c>
      <c r="B158" t="s">
        <v>98</v>
      </c>
      <c r="C158" t="s">
        <v>97</v>
      </c>
      <c r="D158">
        <v>37886235</v>
      </c>
      <c r="E158" t="s">
        <v>100</v>
      </c>
      <c r="F158">
        <v>14</v>
      </c>
      <c r="G158">
        <v>2</v>
      </c>
      <c r="H158">
        <v>3</v>
      </c>
      <c r="I158">
        <v>2</v>
      </c>
      <c r="J158">
        <v>1</v>
      </c>
      <c r="K158">
        <v>2</v>
      </c>
      <c r="L158">
        <v>1</v>
      </c>
      <c r="M158">
        <v>0</v>
      </c>
      <c r="N158">
        <v>19</v>
      </c>
      <c r="O158">
        <v>23.175000000000001</v>
      </c>
      <c r="P158">
        <v>21.18</v>
      </c>
      <c r="Q158">
        <v>1.995000000000001</v>
      </c>
      <c r="R158">
        <v>25</v>
      </c>
      <c r="S158">
        <v>927</v>
      </c>
      <c r="T158">
        <v>79</v>
      </c>
      <c r="U158">
        <v>8.6084142394822045</v>
      </c>
      <c r="V158">
        <v>15.789473684210529</v>
      </c>
    </row>
    <row r="159" spans="1:22" x14ac:dyDescent="0.3">
      <c r="A159">
        <v>158</v>
      </c>
      <c r="B159" t="s">
        <v>98</v>
      </c>
      <c r="C159" t="s">
        <v>97</v>
      </c>
      <c r="D159">
        <v>37886235</v>
      </c>
      <c r="E159" t="s">
        <v>100</v>
      </c>
      <c r="F159">
        <v>14</v>
      </c>
      <c r="G159">
        <v>2</v>
      </c>
      <c r="H159">
        <v>2</v>
      </c>
      <c r="I159">
        <v>2</v>
      </c>
      <c r="J159">
        <v>1</v>
      </c>
      <c r="K159">
        <v>2</v>
      </c>
      <c r="L159">
        <v>0</v>
      </c>
      <c r="M159">
        <v>1</v>
      </c>
      <c r="N159">
        <v>18</v>
      </c>
      <c r="O159">
        <v>24.75</v>
      </c>
      <c r="P159">
        <v>22.629000000000001</v>
      </c>
      <c r="Q159">
        <v>2.1209999999999991</v>
      </c>
      <c r="R159">
        <v>25</v>
      </c>
      <c r="S159">
        <v>990</v>
      </c>
      <c r="T159">
        <v>84</v>
      </c>
      <c r="U159">
        <v>8.5696969696969649</v>
      </c>
      <c r="V159">
        <v>11.111111111111111</v>
      </c>
    </row>
    <row r="160" spans="1:22" x14ac:dyDescent="0.3">
      <c r="A160">
        <v>159</v>
      </c>
      <c r="B160" t="s">
        <v>98</v>
      </c>
      <c r="C160" t="s">
        <v>97</v>
      </c>
      <c r="D160">
        <v>37886235</v>
      </c>
      <c r="E160" t="s">
        <v>100</v>
      </c>
      <c r="F160">
        <v>14</v>
      </c>
      <c r="G160">
        <v>2</v>
      </c>
      <c r="H160">
        <v>2</v>
      </c>
      <c r="I160">
        <v>2</v>
      </c>
      <c r="J160">
        <v>1</v>
      </c>
      <c r="K160">
        <v>2</v>
      </c>
      <c r="L160">
        <v>0</v>
      </c>
      <c r="M160">
        <v>1</v>
      </c>
      <c r="N160">
        <v>18</v>
      </c>
      <c r="O160">
        <v>24.75</v>
      </c>
      <c r="P160">
        <v>23.234999999999999</v>
      </c>
      <c r="Q160">
        <v>1.515000000000001</v>
      </c>
      <c r="R160">
        <v>25</v>
      </c>
      <c r="S160">
        <v>990</v>
      </c>
      <c r="T160">
        <v>60</v>
      </c>
      <c r="U160">
        <v>6.1212121212121238</v>
      </c>
      <c r="V160">
        <v>11.111111111111111</v>
      </c>
    </row>
    <row r="161" spans="1:22" x14ac:dyDescent="0.3">
      <c r="A161">
        <v>160</v>
      </c>
      <c r="B161" t="s">
        <v>98</v>
      </c>
      <c r="C161" t="s">
        <v>97</v>
      </c>
      <c r="D161">
        <v>37886235</v>
      </c>
      <c r="E161" t="s">
        <v>100</v>
      </c>
      <c r="F161">
        <v>14</v>
      </c>
      <c r="G161">
        <v>2</v>
      </c>
      <c r="H161">
        <v>5</v>
      </c>
      <c r="I161">
        <v>2</v>
      </c>
      <c r="J161">
        <v>1</v>
      </c>
      <c r="K161">
        <v>2</v>
      </c>
      <c r="L161">
        <v>3</v>
      </c>
      <c r="M161">
        <v>0</v>
      </c>
      <c r="N161">
        <v>21</v>
      </c>
      <c r="O161">
        <v>24.75</v>
      </c>
      <c r="P161">
        <v>22.265000000000001</v>
      </c>
      <c r="Q161">
        <v>2.484999999999999</v>
      </c>
      <c r="R161">
        <v>25</v>
      </c>
      <c r="S161">
        <v>990</v>
      </c>
      <c r="T161">
        <v>99</v>
      </c>
      <c r="U161">
        <v>10.04040404040404</v>
      </c>
      <c r="V161">
        <v>23.80952380952381</v>
      </c>
    </row>
    <row r="162" spans="1:22" x14ac:dyDescent="0.3">
      <c r="A162">
        <v>161</v>
      </c>
      <c r="B162" t="s">
        <v>94</v>
      </c>
      <c r="C162" t="s">
        <v>113</v>
      </c>
      <c r="D162">
        <v>37909481</v>
      </c>
      <c r="E162" t="s">
        <v>120</v>
      </c>
      <c r="F162">
        <v>3</v>
      </c>
      <c r="G162">
        <v>0</v>
      </c>
      <c r="H162">
        <v>2</v>
      </c>
      <c r="I162">
        <v>2</v>
      </c>
      <c r="J162">
        <v>1</v>
      </c>
      <c r="K162">
        <v>3</v>
      </c>
      <c r="L162">
        <v>0</v>
      </c>
      <c r="M162">
        <v>1</v>
      </c>
      <c r="N162">
        <v>5</v>
      </c>
      <c r="O162">
        <v>24.75</v>
      </c>
      <c r="P162">
        <v>22.460999999999999</v>
      </c>
      <c r="Q162">
        <v>2.289000000000001</v>
      </c>
      <c r="R162">
        <v>15</v>
      </c>
      <c r="S162">
        <v>1650</v>
      </c>
      <c r="T162">
        <v>152</v>
      </c>
      <c r="U162">
        <v>9.2484848484848552</v>
      </c>
      <c r="V162">
        <v>40</v>
      </c>
    </row>
    <row r="163" spans="1:22" x14ac:dyDescent="0.3">
      <c r="A163">
        <v>162</v>
      </c>
      <c r="B163" t="s">
        <v>94</v>
      </c>
      <c r="C163" t="s">
        <v>113</v>
      </c>
      <c r="D163">
        <v>37909481</v>
      </c>
      <c r="E163" t="s">
        <v>120</v>
      </c>
      <c r="F163">
        <v>3</v>
      </c>
      <c r="G163">
        <v>0</v>
      </c>
      <c r="H163">
        <v>2</v>
      </c>
      <c r="I163">
        <v>2</v>
      </c>
      <c r="J163">
        <v>1</v>
      </c>
      <c r="K163">
        <v>3</v>
      </c>
      <c r="L163">
        <v>0</v>
      </c>
      <c r="M163">
        <v>1</v>
      </c>
      <c r="N163">
        <v>5</v>
      </c>
      <c r="O163">
        <v>24.75</v>
      </c>
      <c r="P163">
        <v>23.036999999999999</v>
      </c>
      <c r="Q163">
        <v>1.713000000000001</v>
      </c>
      <c r="R163">
        <v>15</v>
      </c>
      <c r="S163">
        <v>1650</v>
      </c>
      <c r="T163">
        <v>114</v>
      </c>
      <c r="U163">
        <v>6.9212121212121254</v>
      </c>
      <c r="V163">
        <v>40</v>
      </c>
    </row>
    <row r="164" spans="1:22" x14ac:dyDescent="0.3">
      <c r="A164">
        <v>163</v>
      </c>
      <c r="B164" t="s">
        <v>94</v>
      </c>
      <c r="C164" t="s">
        <v>113</v>
      </c>
      <c r="D164">
        <v>37909481</v>
      </c>
      <c r="E164" t="s">
        <v>120</v>
      </c>
      <c r="F164">
        <v>3</v>
      </c>
      <c r="G164">
        <v>0</v>
      </c>
      <c r="H164">
        <v>2</v>
      </c>
      <c r="I164">
        <v>2</v>
      </c>
      <c r="J164">
        <v>1</v>
      </c>
      <c r="K164">
        <v>3</v>
      </c>
      <c r="L164">
        <v>0</v>
      </c>
      <c r="M164">
        <v>1</v>
      </c>
      <c r="N164">
        <v>5</v>
      </c>
      <c r="O164">
        <v>24.75</v>
      </c>
      <c r="P164">
        <v>23.178000000000001</v>
      </c>
      <c r="Q164">
        <v>1.571999999999999</v>
      </c>
      <c r="R164">
        <v>15</v>
      </c>
      <c r="S164">
        <v>1650</v>
      </c>
      <c r="T164">
        <v>104</v>
      </c>
      <c r="U164">
        <v>6.351515151515148</v>
      </c>
      <c r="V164">
        <v>40</v>
      </c>
    </row>
    <row r="165" spans="1:22" x14ac:dyDescent="0.3">
      <c r="A165">
        <v>164</v>
      </c>
      <c r="B165" t="s">
        <v>94</v>
      </c>
      <c r="C165" t="s">
        <v>97</v>
      </c>
      <c r="D165">
        <v>37931239</v>
      </c>
      <c r="E165" t="s">
        <v>102</v>
      </c>
      <c r="F165">
        <v>8</v>
      </c>
      <c r="G165">
        <v>2</v>
      </c>
      <c r="H165">
        <v>3</v>
      </c>
      <c r="I165">
        <v>3</v>
      </c>
      <c r="J165">
        <v>2</v>
      </c>
      <c r="K165">
        <v>5</v>
      </c>
      <c r="L165">
        <v>0</v>
      </c>
      <c r="M165">
        <v>1</v>
      </c>
      <c r="N165">
        <v>13</v>
      </c>
      <c r="O165">
        <v>24.75</v>
      </c>
      <c r="P165">
        <v>22.359000000000002</v>
      </c>
      <c r="Q165">
        <v>2.3909999999999978</v>
      </c>
      <c r="R165">
        <v>25</v>
      </c>
      <c r="S165">
        <v>990</v>
      </c>
      <c r="T165">
        <v>95</v>
      </c>
      <c r="U165">
        <v>9.6606060606060531</v>
      </c>
      <c r="V165">
        <v>23.07692307692308</v>
      </c>
    </row>
    <row r="166" spans="1:22" x14ac:dyDescent="0.3">
      <c r="A166">
        <v>165</v>
      </c>
      <c r="B166" t="s">
        <v>94</v>
      </c>
      <c r="C166" t="s">
        <v>97</v>
      </c>
      <c r="D166">
        <v>37931239</v>
      </c>
      <c r="E166" t="s">
        <v>102</v>
      </c>
      <c r="F166">
        <v>8</v>
      </c>
      <c r="G166">
        <v>2</v>
      </c>
      <c r="H166">
        <v>3</v>
      </c>
      <c r="I166">
        <v>3</v>
      </c>
      <c r="J166">
        <v>2</v>
      </c>
      <c r="K166">
        <v>5</v>
      </c>
      <c r="L166">
        <v>0</v>
      </c>
      <c r="M166">
        <v>1</v>
      </c>
      <c r="N166">
        <v>13</v>
      </c>
      <c r="O166">
        <v>24.75</v>
      </c>
      <c r="P166">
        <v>22.634</v>
      </c>
      <c r="Q166">
        <v>2.1160000000000001</v>
      </c>
      <c r="R166">
        <v>15</v>
      </c>
      <c r="S166">
        <v>1650</v>
      </c>
      <c r="T166">
        <v>141</v>
      </c>
      <c r="U166">
        <v>8.5494949494949477</v>
      </c>
      <c r="V166">
        <v>23.07692307692308</v>
      </c>
    </row>
    <row r="167" spans="1:22" x14ac:dyDescent="0.3">
      <c r="A167">
        <v>166</v>
      </c>
      <c r="B167" t="s">
        <v>94</v>
      </c>
      <c r="C167" t="s">
        <v>97</v>
      </c>
      <c r="D167">
        <v>37931239</v>
      </c>
      <c r="E167" t="s">
        <v>102</v>
      </c>
      <c r="F167">
        <v>8</v>
      </c>
      <c r="G167">
        <v>2</v>
      </c>
      <c r="H167">
        <v>4</v>
      </c>
      <c r="I167">
        <v>3</v>
      </c>
      <c r="J167">
        <v>2</v>
      </c>
      <c r="K167">
        <v>5</v>
      </c>
      <c r="L167">
        <v>1</v>
      </c>
      <c r="M167">
        <v>0</v>
      </c>
      <c r="N167">
        <v>14</v>
      </c>
      <c r="O167">
        <v>24.75</v>
      </c>
      <c r="P167">
        <v>23.068999999999999</v>
      </c>
      <c r="Q167">
        <v>1.6810000000000009</v>
      </c>
      <c r="R167">
        <v>15</v>
      </c>
      <c r="S167">
        <v>1650</v>
      </c>
      <c r="T167">
        <v>112</v>
      </c>
      <c r="U167">
        <v>6.7919191919191961</v>
      </c>
      <c r="V167">
        <v>28.571428571428569</v>
      </c>
    </row>
    <row r="168" spans="1:22" x14ac:dyDescent="0.3">
      <c r="A168">
        <v>167</v>
      </c>
      <c r="B168" t="s">
        <v>94</v>
      </c>
      <c r="C168" t="s">
        <v>97</v>
      </c>
      <c r="D168">
        <v>37931239</v>
      </c>
      <c r="E168" t="s">
        <v>102</v>
      </c>
      <c r="F168">
        <v>8</v>
      </c>
      <c r="G168">
        <v>2</v>
      </c>
      <c r="H168">
        <v>3</v>
      </c>
      <c r="I168">
        <v>3</v>
      </c>
      <c r="J168">
        <v>2</v>
      </c>
      <c r="K168">
        <v>5</v>
      </c>
      <c r="L168">
        <v>0</v>
      </c>
      <c r="M168">
        <v>1</v>
      </c>
      <c r="N168">
        <v>13</v>
      </c>
      <c r="O168">
        <v>24.75</v>
      </c>
      <c r="P168">
        <v>22.952999999999999</v>
      </c>
      <c r="Q168">
        <v>1.797000000000001</v>
      </c>
      <c r="R168">
        <v>15</v>
      </c>
      <c r="S168">
        <v>1650</v>
      </c>
      <c r="T168">
        <v>119</v>
      </c>
      <c r="U168">
        <v>7.2606060606060634</v>
      </c>
      <c r="V168">
        <v>23.07692307692308</v>
      </c>
    </row>
    <row r="169" spans="1:22" x14ac:dyDescent="0.3">
      <c r="A169">
        <v>168</v>
      </c>
      <c r="B169" t="s">
        <v>118</v>
      </c>
      <c r="C169" t="s">
        <v>97</v>
      </c>
      <c r="D169">
        <v>37934257</v>
      </c>
      <c r="E169" t="s">
        <v>107</v>
      </c>
      <c r="F169">
        <v>10</v>
      </c>
      <c r="G169">
        <v>2</v>
      </c>
      <c r="H169">
        <v>2</v>
      </c>
      <c r="I169">
        <v>3</v>
      </c>
      <c r="J169">
        <v>2</v>
      </c>
      <c r="K169">
        <v>4</v>
      </c>
      <c r="L169">
        <v>-1</v>
      </c>
      <c r="M169">
        <v>1</v>
      </c>
      <c r="N169">
        <v>14</v>
      </c>
      <c r="O169">
        <v>24.75</v>
      </c>
      <c r="P169">
        <v>23.344000000000001</v>
      </c>
      <c r="Q169">
        <v>1.405999999999999</v>
      </c>
      <c r="R169">
        <v>25</v>
      </c>
      <c r="S169">
        <v>990</v>
      </c>
      <c r="T169">
        <v>56</v>
      </c>
      <c r="U169">
        <v>5.6808080808080756</v>
      </c>
      <c r="V169">
        <v>14.285714285714279</v>
      </c>
    </row>
    <row r="170" spans="1:22" x14ac:dyDescent="0.3">
      <c r="A170">
        <v>169</v>
      </c>
      <c r="B170" t="s">
        <v>118</v>
      </c>
      <c r="C170" t="s">
        <v>97</v>
      </c>
      <c r="D170">
        <v>37934257</v>
      </c>
      <c r="E170" t="s">
        <v>107</v>
      </c>
      <c r="F170">
        <v>10</v>
      </c>
      <c r="G170">
        <v>2</v>
      </c>
      <c r="H170">
        <v>2</v>
      </c>
      <c r="I170">
        <v>3</v>
      </c>
      <c r="J170">
        <v>2</v>
      </c>
      <c r="K170">
        <v>4</v>
      </c>
      <c r="L170">
        <v>-1</v>
      </c>
      <c r="M170">
        <v>1</v>
      </c>
      <c r="N170">
        <v>14</v>
      </c>
      <c r="O170">
        <v>24.75</v>
      </c>
      <c r="P170">
        <v>23.385999999999999</v>
      </c>
      <c r="Q170">
        <v>1.364000000000001</v>
      </c>
      <c r="R170">
        <v>25</v>
      </c>
      <c r="S170">
        <v>990</v>
      </c>
      <c r="T170">
        <v>54</v>
      </c>
      <c r="U170">
        <v>5.5111111111111146</v>
      </c>
      <c r="V170">
        <v>14.285714285714279</v>
      </c>
    </row>
    <row r="171" spans="1:22" x14ac:dyDescent="0.3">
      <c r="A171">
        <v>170</v>
      </c>
      <c r="B171" t="s">
        <v>118</v>
      </c>
      <c r="C171" t="s">
        <v>95</v>
      </c>
      <c r="D171">
        <v>37934257</v>
      </c>
      <c r="E171" t="s">
        <v>107</v>
      </c>
      <c r="F171">
        <v>10</v>
      </c>
      <c r="G171">
        <v>1</v>
      </c>
      <c r="H171">
        <v>4</v>
      </c>
      <c r="I171">
        <v>3</v>
      </c>
      <c r="J171">
        <v>2</v>
      </c>
      <c r="K171">
        <v>4</v>
      </c>
      <c r="L171">
        <v>1</v>
      </c>
      <c r="M171">
        <v>0</v>
      </c>
      <c r="N171">
        <v>15</v>
      </c>
      <c r="O171">
        <v>24.75</v>
      </c>
      <c r="P171">
        <v>23.254999999999999</v>
      </c>
      <c r="Q171">
        <v>1.495000000000001</v>
      </c>
      <c r="R171">
        <v>25</v>
      </c>
      <c r="S171">
        <v>990</v>
      </c>
      <c r="T171">
        <v>59</v>
      </c>
      <c r="U171">
        <v>6.0404040404040442</v>
      </c>
      <c r="V171">
        <v>26.666666666666671</v>
      </c>
    </row>
    <row r="172" spans="1:22" x14ac:dyDescent="0.3">
      <c r="A172">
        <v>171</v>
      </c>
      <c r="B172" t="s">
        <v>118</v>
      </c>
      <c r="C172" t="s">
        <v>95</v>
      </c>
      <c r="D172">
        <v>37934257</v>
      </c>
      <c r="E172" t="s">
        <v>107</v>
      </c>
      <c r="F172">
        <v>10</v>
      </c>
      <c r="G172">
        <v>1</v>
      </c>
      <c r="H172">
        <v>3</v>
      </c>
      <c r="I172">
        <v>3</v>
      </c>
      <c r="J172">
        <v>2</v>
      </c>
      <c r="K172">
        <v>4</v>
      </c>
      <c r="L172">
        <v>0</v>
      </c>
      <c r="M172">
        <v>1</v>
      </c>
      <c r="N172">
        <v>14</v>
      </c>
      <c r="O172">
        <v>24.75</v>
      </c>
      <c r="P172">
        <v>23.28</v>
      </c>
      <c r="Q172">
        <v>1.4699999999999991</v>
      </c>
      <c r="R172">
        <v>25</v>
      </c>
      <c r="S172">
        <v>990</v>
      </c>
      <c r="T172">
        <v>58</v>
      </c>
      <c r="U172">
        <v>5.939393939393935</v>
      </c>
      <c r="V172">
        <v>21.428571428571431</v>
      </c>
    </row>
    <row r="173" spans="1:22" x14ac:dyDescent="0.3">
      <c r="A173">
        <v>172</v>
      </c>
      <c r="B173" t="s">
        <v>118</v>
      </c>
      <c r="C173" t="s">
        <v>95</v>
      </c>
      <c r="D173">
        <v>37934257</v>
      </c>
      <c r="E173" t="s">
        <v>107</v>
      </c>
      <c r="F173">
        <v>10</v>
      </c>
      <c r="G173">
        <v>1</v>
      </c>
      <c r="H173">
        <v>3</v>
      </c>
      <c r="I173">
        <v>3</v>
      </c>
      <c r="J173">
        <v>2</v>
      </c>
      <c r="K173">
        <v>4</v>
      </c>
      <c r="L173">
        <v>0</v>
      </c>
      <c r="M173">
        <v>1</v>
      </c>
      <c r="N173">
        <v>14</v>
      </c>
      <c r="O173">
        <v>24.75</v>
      </c>
      <c r="P173">
        <v>23.417999999999999</v>
      </c>
      <c r="Q173">
        <v>1.332000000000001</v>
      </c>
      <c r="R173">
        <v>20</v>
      </c>
      <c r="S173">
        <v>1237</v>
      </c>
      <c r="T173">
        <v>66</v>
      </c>
      <c r="U173">
        <v>5.3818181818181836</v>
      </c>
      <c r="V173">
        <v>21.428571428571431</v>
      </c>
    </row>
    <row r="174" spans="1:22" x14ac:dyDescent="0.3">
      <c r="A174">
        <v>173</v>
      </c>
      <c r="B174" t="s">
        <v>118</v>
      </c>
      <c r="C174" t="s">
        <v>97</v>
      </c>
      <c r="D174">
        <v>37964663</v>
      </c>
      <c r="E174" t="s">
        <v>107</v>
      </c>
      <c r="F174">
        <v>10</v>
      </c>
      <c r="G174">
        <v>45</v>
      </c>
      <c r="H174">
        <v>2</v>
      </c>
      <c r="I174">
        <v>3</v>
      </c>
      <c r="J174">
        <v>2</v>
      </c>
      <c r="K174">
        <v>4</v>
      </c>
      <c r="L174">
        <v>-1</v>
      </c>
      <c r="M174">
        <v>1</v>
      </c>
      <c r="N174">
        <v>57</v>
      </c>
      <c r="O174">
        <v>21.254999999999999</v>
      </c>
      <c r="P174">
        <v>19.998999999999999</v>
      </c>
      <c r="Q174">
        <v>1.256</v>
      </c>
      <c r="R174">
        <v>20</v>
      </c>
      <c r="S174">
        <v>1062</v>
      </c>
      <c r="T174">
        <v>62</v>
      </c>
      <c r="U174">
        <v>5.9091978358033419</v>
      </c>
      <c r="V174">
        <v>3.5087719298245612</v>
      </c>
    </row>
    <row r="175" spans="1:22" x14ac:dyDescent="0.3">
      <c r="A175">
        <v>174</v>
      </c>
      <c r="B175" t="s">
        <v>118</v>
      </c>
      <c r="C175" t="s">
        <v>97</v>
      </c>
      <c r="D175">
        <v>37964663</v>
      </c>
      <c r="E175" t="s">
        <v>107</v>
      </c>
      <c r="F175">
        <v>10</v>
      </c>
      <c r="G175">
        <v>45</v>
      </c>
      <c r="H175">
        <v>4</v>
      </c>
      <c r="I175">
        <v>3</v>
      </c>
      <c r="J175">
        <v>2</v>
      </c>
      <c r="K175">
        <v>4</v>
      </c>
      <c r="L175">
        <v>1</v>
      </c>
      <c r="M175">
        <v>0</v>
      </c>
      <c r="N175">
        <v>59</v>
      </c>
      <c r="O175">
        <v>20.635999999999999</v>
      </c>
      <c r="P175">
        <v>19.565000000000001</v>
      </c>
      <c r="Q175">
        <v>1.070999999999998</v>
      </c>
      <c r="R175">
        <v>20</v>
      </c>
      <c r="S175">
        <v>1031</v>
      </c>
      <c r="T175">
        <v>53</v>
      </c>
      <c r="U175">
        <v>5.1899592944368962</v>
      </c>
      <c r="V175">
        <v>6.7796610169491522</v>
      </c>
    </row>
    <row r="176" spans="1:22" x14ac:dyDescent="0.3">
      <c r="A176">
        <v>175</v>
      </c>
      <c r="B176" t="s">
        <v>118</v>
      </c>
      <c r="C176" t="s">
        <v>97</v>
      </c>
      <c r="D176">
        <v>37964663</v>
      </c>
      <c r="E176" t="s">
        <v>107</v>
      </c>
      <c r="F176">
        <v>10</v>
      </c>
      <c r="G176">
        <v>46</v>
      </c>
      <c r="H176">
        <v>2</v>
      </c>
      <c r="I176">
        <v>3</v>
      </c>
      <c r="J176">
        <v>2</v>
      </c>
      <c r="K176">
        <v>4</v>
      </c>
      <c r="L176">
        <v>-1</v>
      </c>
      <c r="M176">
        <v>1</v>
      </c>
      <c r="N176">
        <v>58</v>
      </c>
      <c r="O176">
        <v>22.151</v>
      </c>
      <c r="P176">
        <v>19.792000000000002</v>
      </c>
      <c r="Q176">
        <v>2.3589999999999982</v>
      </c>
      <c r="R176">
        <v>20</v>
      </c>
      <c r="S176">
        <v>1107</v>
      </c>
      <c r="T176">
        <v>117</v>
      </c>
      <c r="U176">
        <v>10.649632070786859</v>
      </c>
      <c r="V176">
        <v>3.4482758620689649</v>
      </c>
    </row>
    <row r="177" spans="1:22" x14ac:dyDescent="0.3">
      <c r="A177">
        <v>176</v>
      </c>
      <c r="B177" t="s">
        <v>98</v>
      </c>
      <c r="C177" t="s">
        <v>119</v>
      </c>
      <c r="D177">
        <v>37965404</v>
      </c>
      <c r="E177" t="s">
        <v>100</v>
      </c>
      <c r="F177">
        <v>24</v>
      </c>
      <c r="G177">
        <v>42</v>
      </c>
      <c r="H177">
        <v>2</v>
      </c>
      <c r="I177">
        <v>2</v>
      </c>
      <c r="J177">
        <v>1</v>
      </c>
      <c r="K177">
        <v>2</v>
      </c>
      <c r="L177">
        <v>0</v>
      </c>
      <c r="M177">
        <v>1</v>
      </c>
      <c r="N177">
        <v>68</v>
      </c>
      <c r="O177">
        <v>22.018000000000001</v>
      </c>
      <c r="P177">
        <v>20.777999999999999</v>
      </c>
      <c r="Q177">
        <v>1.240000000000002</v>
      </c>
      <c r="R177">
        <v>20</v>
      </c>
      <c r="S177">
        <v>1100</v>
      </c>
      <c r="T177">
        <v>62</v>
      </c>
      <c r="U177">
        <v>5.6317558361340812</v>
      </c>
      <c r="V177">
        <v>2.9411764705882351</v>
      </c>
    </row>
    <row r="178" spans="1:22" x14ac:dyDescent="0.3">
      <c r="A178">
        <v>177</v>
      </c>
      <c r="B178" t="s">
        <v>98</v>
      </c>
      <c r="C178" t="s">
        <v>119</v>
      </c>
      <c r="D178">
        <v>37965404</v>
      </c>
      <c r="E178" t="s">
        <v>100</v>
      </c>
      <c r="F178">
        <v>24</v>
      </c>
      <c r="G178">
        <v>42</v>
      </c>
      <c r="H178">
        <v>3</v>
      </c>
      <c r="I178">
        <v>2</v>
      </c>
      <c r="J178">
        <v>1</v>
      </c>
      <c r="K178">
        <v>2</v>
      </c>
      <c r="L178">
        <v>1</v>
      </c>
      <c r="M178">
        <v>0</v>
      </c>
      <c r="N178">
        <v>69</v>
      </c>
      <c r="O178">
        <v>23.838999999999999</v>
      </c>
      <c r="P178">
        <v>22.206</v>
      </c>
      <c r="Q178">
        <v>1.6329999999999989</v>
      </c>
      <c r="R178">
        <v>20</v>
      </c>
      <c r="S178">
        <v>1191</v>
      </c>
      <c r="T178">
        <v>81</v>
      </c>
      <c r="U178">
        <v>6.8501195519946272</v>
      </c>
      <c r="V178">
        <v>4.3478260869565224</v>
      </c>
    </row>
    <row r="179" spans="1:22" x14ac:dyDescent="0.3">
      <c r="A179">
        <v>178</v>
      </c>
      <c r="B179" t="s">
        <v>98</v>
      </c>
      <c r="C179" t="s">
        <v>119</v>
      </c>
      <c r="D179">
        <v>37965404</v>
      </c>
      <c r="E179" t="s">
        <v>100</v>
      </c>
      <c r="F179">
        <v>24</v>
      </c>
      <c r="G179">
        <v>42</v>
      </c>
      <c r="H179">
        <v>3</v>
      </c>
      <c r="I179">
        <v>2</v>
      </c>
      <c r="J179">
        <v>1</v>
      </c>
      <c r="K179">
        <v>2</v>
      </c>
      <c r="L179">
        <v>1</v>
      </c>
      <c r="M179">
        <v>0</v>
      </c>
      <c r="N179">
        <v>69</v>
      </c>
      <c r="O179">
        <v>24.75</v>
      </c>
      <c r="P179">
        <v>21.463000000000001</v>
      </c>
      <c r="Q179">
        <v>3.286999999999999</v>
      </c>
      <c r="R179">
        <v>20</v>
      </c>
      <c r="S179">
        <v>1237</v>
      </c>
      <c r="T179">
        <v>164</v>
      </c>
      <c r="U179">
        <v>13.280808080808081</v>
      </c>
      <c r="V179">
        <v>4.3478260869565224</v>
      </c>
    </row>
    <row r="180" spans="1:22" x14ac:dyDescent="0.3">
      <c r="A180">
        <v>179</v>
      </c>
      <c r="B180" t="s">
        <v>118</v>
      </c>
      <c r="C180" t="s">
        <v>99</v>
      </c>
      <c r="D180">
        <v>37970346</v>
      </c>
      <c r="E180" t="s">
        <v>107</v>
      </c>
      <c r="F180">
        <v>45</v>
      </c>
      <c r="G180">
        <v>2</v>
      </c>
      <c r="H180">
        <v>2</v>
      </c>
      <c r="I180">
        <v>4</v>
      </c>
      <c r="J180">
        <v>3</v>
      </c>
      <c r="K180">
        <v>5</v>
      </c>
      <c r="L180">
        <v>-2</v>
      </c>
      <c r="M180">
        <v>1</v>
      </c>
      <c r="N180">
        <v>49</v>
      </c>
      <c r="O180">
        <v>24.068000000000001</v>
      </c>
      <c r="P180">
        <v>21.117000000000001</v>
      </c>
      <c r="Q180">
        <v>2.951000000000001</v>
      </c>
      <c r="R180">
        <v>20</v>
      </c>
      <c r="S180">
        <v>1203</v>
      </c>
      <c r="T180">
        <v>147</v>
      </c>
      <c r="U180">
        <v>12.261093568223369</v>
      </c>
      <c r="V180">
        <v>4.0816326530612246</v>
      </c>
    </row>
    <row r="181" spans="1:22" x14ac:dyDescent="0.3">
      <c r="A181">
        <v>180</v>
      </c>
      <c r="B181" t="s">
        <v>118</v>
      </c>
      <c r="C181" t="s">
        <v>99</v>
      </c>
      <c r="D181">
        <v>37970346</v>
      </c>
      <c r="E181" t="s">
        <v>107</v>
      </c>
      <c r="F181">
        <v>45</v>
      </c>
      <c r="G181">
        <v>2</v>
      </c>
      <c r="H181">
        <v>2</v>
      </c>
      <c r="I181">
        <v>4</v>
      </c>
      <c r="J181">
        <v>3</v>
      </c>
      <c r="K181">
        <v>5</v>
      </c>
      <c r="L181">
        <v>-2</v>
      </c>
      <c r="M181">
        <v>1</v>
      </c>
      <c r="N181">
        <v>49</v>
      </c>
      <c r="O181">
        <v>21.61</v>
      </c>
      <c r="P181">
        <v>20.286999999999999</v>
      </c>
      <c r="Q181">
        <v>1.323</v>
      </c>
      <c r="R181">
        <v>25</v>
      </c>
      <c r="S181">
        <v>864</v>
      </c>
      <c r="T181">
        <v>52</v>
      </c>
      <c r="U181">
        <v>6.1221656640444264</v>
      </c>
      <c r="V181">
        <v>4.0816326530612246</v>
      </c>
    </row>
    <row r="182" spans="1:22" x14ac:dyDescent="0.3">
      <c r="A182">
        <v>181</v>
      </c>
      <c r="B182" t="s">
        <v>118</v>
      </c>
      <c r="C182" t="s">
        <v>99</v>
      </c>
      <c r="D182">
        <v>37970346</v>
      </c>
      <c r="E182" t="s">
        <v>107</v>
      </c>
      <c r="F182">
        <v>45</v>
      </c>
      <c r="G182">
        <v>2</v>
      </c>
      <c r="H182">
        <v>1</v>
      </c>
      <c r="I182">
        <v>4</v>
      </c>
      <c r="J182">
        <v>3</v>
      </c>
      <c r="K182">
        <v>5</v>
      </c>
      <c r="L182">
        <v>-3</v>
      </c>
      <c r="M182">
        <v>1</v>
      </c>
      <c r="N182">
        <v>48</v>
      </c>
      <c r="O182">
        <v>24.75</v>
      </c>
      <c r="P182">
        <v>22.951000000000001</v>
      </c>
      <c r="Q182">
        <v>1.798999999999999</v>
      </c>
      <c r="R182">
        <v>25</v>
      </c>
      <c r="S182">
        <v>990</v>
      </c>
      <c r="T182">
        <v>71</v>
      </c>
      <c r="U182">
        <v>7.2686868686868662</v>
      </c>
      <c r="V182">
        <v>2.083333333333333</v>
      </c>
    </row>
    <row r="183" spans="1:22" x14ac:dyDescent="0.3">
      <c r="A183">
        <v>182</v>
      </c>
      <c r="B183" t="s">
        <v>118</v>
      </c>
      <c r="C183" t="s">
        <v>99</v>
      </c>
      <c r="D183">
        <v>37970346</v>
      </c>
      <c r="E183" t="s">
        <v>107</v>
      </c>
      <c r="F183">
        <v>45</v>
      </c>
      <c r="G183">
        <v>2</v>
      </c>
      <c r="H183">
        <v>1</v>
      </c>
      <c r="I183">
        <v>4</v>
      </c>
      <c r="J183">
        <v>3</v>
      </c>
      <c r="K183">
        <v>5</v>
      </c>
      <c r="L183">
        <v>-3</v>
      </c>
      <c r="M183">
        <v>1</v>
      </c>
      <c r="N183">
        <v>48</v>
      </c>
      <c r="O183">
        <v>24.75</v>
      </c>
      <c r="P183">
        <v>23.411000000000001</v>
      </c>
      <c r="Q183">
        <v>1.3389999999999991</v>
      </c>
      <c r="R183">
        <v>25</v>
      </c>
      <c r="S183">
        <v>990</v>
      </c>
      <c r="T183">
        <v>53</v>
      </c>
      <c r="U183">
        <v>5.4101010101010054</v>
      </c>
      <c r="V183">
        <v>2.083333333333333</v>
      </c>
    </row>
    <row r="184" spans="1:22" x14ac:dyDescent="0.3">
      <c r="A184">
        <v>183</v>
      </c>
      <c r="B184" t="s">
        <v>121</v>
      </c>
      <c r="C184" t="s">
        <v>110</v>
      </c>
      <c r="D184">
        <v>38022939</v>
      </c>
      <c r="E184" t="s">
        <v>111</v>
      </c>
      <c r="F184">
        <v>3</v>
      </c>
      <c r="G184">
        <v>36</v>
      </c>
      <c r="H184">
        <v>4</v>
      </c>
      <c r="I184">
        <v>3</v>
      </c>
      <c r="J184">
        <v>2</v>
      </c>
      <c r="K184">
        <v>4</v>
      </c>
      <c r="L184">
        <v>1</v>
      </c>
      <c r="M184">
        <v>0</v>
      </c>
      <c r="N184">
        <v>43</v>
      </c>
      <c r="O184">
        <v>24.75</v>
      </c>
      <c r="P184">
        <v>23.263000000000002</v>
      </c>
      <c r="Q184">
        <v>1.4869999999999981</v>
      </c>
      <c r="R184">
        <v>20</v>
      </c>
      <c r="S184">
        <v>1237</v>
      </c>
      <c r="T184">
        <v>74</v>
      </c>
      <c r="U184">
        <v>6.008080808080801</v>
      </c>
      <c r="V184">
        <v>9.3023255813953494</v>
      </c>
    </row>
    <row r="185" spans="1:22" x14ac:dyDescent="0.3">
      <c r="A185">
        <v>184</v>
      </c>
      <c r="B185" t="s">
        <v>121</v>
      </c>
      <c r="C185" t="s">
        <v>110</v>
      </c>
      <c r="D185">
        <v>38022939</v>
      </c>
      <c r="E185" t="s">
        <v>111</v>
      </c>
      <c r="F185">
        <v>3</v>
      </c>
      <c r="G185">
        <v>36</v>
      </c>
      <c r="H185">
        <v>3</v>
      </c>
      <c r="I185">
        <v>3</v>
      </c>
      <c r="J185">
        <v>2</v>
      </c>
      <c r="K185">
        <v>4</v>
      </c>
      <c r="L185">
        <v>0</v>
      </c>
      <c r="M185">
        <v>1</v>
      </c>
      <c r="N185">
        <v>42</v>
      </c>
      <c r="O185">
        <v>24.75</v>
      </c>
      <c r="P185">
        <v>22.611999999999998</v>
      </c>
      <c r="Q185">
        <v>2.1380000000000021</v>
      </c>
      <c r="R185">
        <v>20</v>
      </c>
      <c r="S185">
        <v>1237</v>
      </c>
      <c r="T185">
        <v>106</v>
      </c>
      <c r="U185">
        <v>8.6383838383838452</v>
      </c>
      <c r="V185">
        <v>7.1428571428571423</v>
      </c>
    </row>
    <row r="186" spans="1:22" x14ac:dyDescent="0.3">
      <c r="A186">
        <v>185</v>
      </c>
      <c r="B186" t="s">
        <v>121</v>
      </c>
      <c r="C186" t="s">
        <v>110</v>
      </c>
      <c r="D186">
        <v>38022941</v>
      </c>
      <c r="E186" t="s">
        <v>111</v>
      </c>
      <c r="F186">
        <v>3</v>
      </c>
      <c r="G186">
        <v>36</v>
      </c>
      <c r="H186">
        <v>3</v>
      </c>
      <c r="I186">
        <v>3</v>
      </c>
      <c r="J186">
        <v>2</v>
      </c>
      <c r="K186">
        <v>4</v>
      </c>
      <c r="L186">
        <v>0</v>
      </c>
      <c r="M186">
        <v>1</v>
      </c>
      <c r="N186">
        <v>42</v>
      </c>
      <c r="O186">
        <v>24.75</v>
      </c>
      <c r="P186">
        <v>22.594000000000001</v>
      </c>
      <c r="Q186">
        <v>2.1559999999999988</v>
      </c>
      <c r="R186">
        <v>20</v>
      </c>
      <c r="S186">
        <v>1237</v>
      </c>
      <c r="T186">
        <v>107</v>
      </c>
      <c r="U186">
        <v>8.7111111111111068</v>
      </c>
      <c r="V186">
        <v>7.1428571428571423</v>
      </c>
    </row>
    <row r="187" spans="1:22" x14ac:dyDescent="0.3">
      <c r="A187">
        <v>186</v>
      </c>
      <c r="B187" t="s">
        <v>121</v>
      </c>
      <c r="C187" t="s">
        <v>110</v>
      </c>
      <c r="D187">
        <v>38022941</v>
      </c>
      <c r="E187" t="s">
        <v>111</v>
      </c>
      <c r="F187">
        <v>3</v>
      </c>
      <c r="G187">
        <v>36</v>
      </c>
      <c r="H187">
        <v>3</v>
      </c>
      <c r="I187">
        <v>3</v>
      </c>
      <c r="J187">
        <v>2</v>
      </c>
      <c r="K187">
        <v>4</v>
      </c>
      <c r="L187">
        <v>0</v>
      </c>
      <c r="M187">
        <v>1</v>
      </c>
      <c r="N187">
        <v>42</v>
      </c>
      <c r="O187">
        <v>24.75</v>
      </c>
      <c r="P187">
        <v>22.609000000000002</v>
      </c>
      <c r="Q187">
        <v>2.1409999999999978</v>
      </c>
      <c r="R187">
        <v>20</v>
      </c>
      <c r="S187">
        <v>1237</v>
      </c>
      <c r="T187">
        <v>107</v>
      </c>
      <c r="U187">
        <v>8.6505050505050427</v>
      </c>
      <c r="V187">
        <v>7.1428571428571423</v>
      </c>
    </row>
    <row r="188" spans="1:22" x14ac:dyDescent="0.3">
      <c r="A188">
        <v>187</v>
      </c>
      <c r="B188" t="s">
        <v>121</v>
      </c>
      <c r="C188" t="s">
        <v>110</v>
      </c>
      <c r="D188">
        <v>38022941</v>
      </c>
      <c r="E188" t="s">
        <v>111</v>
      </c>
      <c r="F188">
        <v>3</v>
      </c>
      <c r="G188">
        <v>2</v>
      </c>
      <c r="H188">
        <v>2</v>
      </c>
      <c r="I188">
        <v>3</v>
      </c>
      <c r="J188">
        <v>2</v>
      </c>
      <c r="K188">
        <v>4</v>
      </c>
      <c r="L188">
        <v>-1</v>
      </c>
      <c r="M188">
        <v>1</v>
      </c>
      <c r="N188">
        <v>7</v>
      </c>
      <c r="O188">
        <v>24.702000000000002</v>
      </c>
      <c r="P188">
        <v>22.763000000000002</v>
      </c>
      <c r="Q188">
        <v>1.9390000000000001</v>
      </c>
      <c r="R188">
        <v>50</v>
      </c>
      <c r="S188">
        <v>494</v>
      </c>
      <c r="T188">
        <v>38</v>
      </c>
      <c r="U188">
        <v>7.8495668366933851</v>
      </c>
      <c r="V188">
        <v>28.571428571428569</v>
      </c>
    </row>
    <row r="189" spans="1:22" x14ac:dyDescent="0.3">
      <c r="A189">
        <v>188</v>
      </c>
      <c r="B189" t="s">
        <v>121</v>
      </c>
      <c r="C189" t="s">
        <v>110</v>
      </c>
      <c r="D189">
        <v>38022941</v>
      </c>
      <c r="E189" t="s">
        <v>111</v>
      </c>
      <c r="F189">
        <v>3</v>
      </c>
      <c r="G189">
        <v>1</v>
      </c>
      <c r="H189">
        <v>3</v>
      </c>
      <c r="I189">
        <v>3</v>
      </c>
      <c r="J189">
        <v>2</v>
      </c>
      <c r="K189">
        <v>4</v>
      </c>
      <c r="L189">
        <v>0</v>
      </c>
      <c r="M189">
        <v>1</v>
      </c>
      <c r="N189">
        <v>7</v>
      </c>
      <c r="O189">
        <v>24.75</v>
      </c>
      <c r="P189">
        <v>22.635999999999999</v>
      </c>
      <c r="Q189">
        <v>2.1140000000000012</v>
      </c>
      <c r="R189">
        <v>50</v>
      </c>
      <c r="S189">
        <v>495</v>
      </c>
      <c r="T189">
        <v>42</v>
      </c>
      <c r="U189">
        <v>8.541414141414144</v>
      </c>
      <c r="V189">
        <v>42.857142857142847</v>
      </c>
    </row>
    <row r="190" spans="1:22" x14ac:dyDescent="0.3">
      <c r="A190">
        <v>189</v>
      </c>
      <c r="B190" t="s">
        <v>94</v>
      </c>
      <c r="C190" t="s">
        <v>122</v>
      </c>
      <c r="D190">
        <v>38022617</v>
      </c>
      <c r="E190" t="s">
        <v>120</v>
      </c>
      <c r="F190">
        <v>6</v>
      </c>
      <c r="G190">
        <v>1</v>
      </c>
      <c r="H190">
        <v>4</v>
      </c>
      <c r="I190">
        <v>3</v>
      </c>
      <c r="J190">
        <v>2</v>
      </c>
      <c r="K190">
        <v>4</v>
      </c>
      <c r="L190">
        <v>1</v>
      </c>
      <c r="M190">
        <v>0</v>
      </c>
      <c r="N190">
        <v>11</v>
      </c>
      <c r="O190">
        <v>24.75</v>
      </c>
      <c r="P190">
        <v>23.187999999999999</v>
      </c>
      <c r="Q190">
        <v>1.5620000000000009</v>
      </c>
      <c r="R190">
        <v>15</v>
      </c>
      <c r="S190">
        <v>1650</v>
      </c>
      <c r="T190">
        <v>104</v>
      </c>
      <c r="U190">
        <v>6.3111111111111162</v>
      </c>
      <c r="V190">
        <v>36.363636363636367</v>
      </c>
    </row>
    <row r="191" spans="1:22" x14ac:dyDescent="0.3">
      <c r="A191">
        <v>190</v>
      </c>
      <c r="B191" t="s">
        <v>94</v>
      </c>
      <c r="C191" t="s">
        <v>122</v>
      </c>
      <c r="D191">
        <v>38022617</v>
      </c>
      <c r="E191" t="s">
        <v>120</v>
      </c>
      <c r="F191">
        <v>6</v>
      </c>
      <c r="G191">
        <v>1</v>
      </c>
      <c r="H191">
        <v>3</v>
      </c>
      <c r="I191">
        <v>3</v>
      </c>
      <c r="J191">
        <v>2</v>
      </c>
      <c r="K191">
        <v>4</v>
      </c>
      <c r="L191">
        <v>0</v>
      </c>
      <c r="M191">
        <v>1</v>
      </c>
      <c r="N191">
        <v>10</v>
      </c>
      <c r="O191">
        <v>24.75</v>
      </c>
      <c r="P191">
        <v>22.81</v>
      </c>
      <c r="Q191">
        <v>1.9400000000000011</v>
      </c>
      <c r="R191">
        <v>15</v>
      </c>
      <c r="S191">
        <v>1650</v>
      </c>
      <c r="T191">
        <v>129</v>
      </c>
      <c r="U191">
        <v>7.8383838383838427</v>
      </c>
      <c r="V191">
        <v>30</v>
      </c>
    </row>
    <row r="192" spans="1:22" x14ac:dyDescent="0.3">
      <c r="A192">
        <v>191</v>
      </c>
      <c r="B192" t="s">
        <v>94</v>
      </c>
      <c r="C192" t="s">
        <v>122</v>
      </c>
      <c r="D192" t="s">
        <v>123</v>
      </c>
      <c r="E192" t="s">
        <v>120</v>
      </c>
      <c r="F192">
        <v>6</v>
      </c>
      <c r="G192">
        <v>1</v>
      </c>
      <c r="H192">
        <v>3</v>
      </c>
      <c r="I192">
        <v>3</v>
      </c>
      <c r="J192">
        <v>2</v>
      </c>
      <c r="K192">
        <v>4</v>
      </c>
      <c r="L192">
        <v>0</v>
      </c>
      <c r="M192">
        <v>1</v>
      </c>
      <c r="N192">
        <v>10</v>
      </c>
      <c r="O192">
        <v>24.75</v>
      </c>
      <c r="P192">
        <v>23.305</v>
      </c>
      <c r="Q192">
        <v>1.4450000000000001</v>
      </c>
      <c r="R192">
        <v>15</v>
      </c>
      <c r="S192">
        <v>1650</v>
      </c>
      <c r="T192">
        <v>96</v>
      </c>
      <c r="U192">
        <v>5.8383838383838391</v>
      </c>
      <c r="V192">
        <v>30</v>
      </c>
    </row>
    <row r="193" spans="1:22" x14ac:dyDescent="0.3">
      <c r="A193">
        <v>192</v>
      </c>
      <c r="B193" t="s">
        <v>94</v>
      </c>
      <c r="C193" t="s">
        <v>122</v>
      </c>
      <c r="D193">
        <v>38023796</v>
      </c>
      <c r="E193" t="s">
        <v>120</v>
      </c>
      <c r="F193">
        <v>5</v>
      </c>
      <c r="G193">
        <v>1</v>
      </c>
      <c r="H193">
        <v>3</v>
      </c>
      <c r="I193">
        <v>3</v>
      </c>
      <c r="J193">
        <v>2</v>
      </c>
      <c r="K193">
        <v>4</v>
      </c>
      <c r="L193">
        <v>0</v>
      </c>
      <c r="M193">
        <v>1</v>
      </c>
      <c r="N193">
        <v>9</v>
      </c>
      <c r="O193">
        <v>22.891999999999999</v>
      </c>
      <c r="P193">
        <v>21.315000000000001</v>
      </c>
      <c r="Q193">
        <v>1.576999999999998</v>
      </c>
      <c r="R193">
        <v>15</v>
      </c>
      <c r="S193">
        <v>1526</v>
      </c>
      <c r="T193">
        <v>105</v>
      </c>
      <c r="U193">
        <v>6.8888694740520631</v>
      </c>
      <c r="V193">
        <v>33.333333333333329</v>
      </c>
    </row>
    <row r="194" spans="1:22" x14ac:dyDescent="0.3">
      <c r="A194">
        <v>193</v>
      </c>
      <c r="B194" t="s">
        <v>94</v>
      </c>
      <c r="C194" t="s">
        <v>122</v>
      </c>
      <c r="D194">
        <v>38023796</v>
      </c>
      <c r="E194" t="s">
        <v>120</v>
      </c>
      <c r="F194">
        <v>5</v>
      </c>
      <c r="G194">
        <v>1</v>
      </c>
      <c r="H194">
        <v>4</v>
      </c>
      <c r="I194">
        <v>3</v>
      </c>
      <c r="J194">
        <v>2</v>
      </c>
      <c r="K194">
        <v>4</v>
      </c>
      <c r="L194">
        <v>1</v>
      </c>
      <c r="M194">
        <v>0</v>
      </c>
      <c r="N194">
        <v>10</v>
      </c>
      <c r="O194">
        <v>24.75</v>
      </c>
      <c r="P194">
        <v>22.635999999999999</v>
      </c>
      <c r="Q194">
        <v>2.1140000000000012</v>
      </c>
      <c r="R194">
        <v>15</v>
      </c>
      <c r="S194">
        <v>1650</v>
      </c>
      <c r="T194">
        <v>140</v>
      </c>
      <c r="U194">
        <v>8.541414141414144</v>
      </c>
      <c r="V194">
        <v>40</v>
      </c>
    </row>
    <row r="195" spans="1:22" x14ac:dyDescent="0.3">
      <c r="A195">
        <v>194</v>
      </c>
      <c r="B195" t="s">
        <v>94</v>
      </c>
      <c r="C195" t="s">
        <v>122</v>
      </c>
      <c r="D195">
        <v>38023796</v>
      </c>
      <c r="E195" t="s">
        <v>120</v>
      </c>
      <c r="F195">
        <v>5</v>
      </c>
      <c r="G195">
        <v>1</v>
      </c>
      <c r="H195">
        <v>4</v>
      </c>
      <c r="I195">
        <v>3</v>
      </c>
      <c r="J195">
        <v>2</v>
      </c>
      <c r="K195">
        <v>4</v>
      </c>
      <c r="L195">
        <v>1</v>
      </c>
      <c r="M195">
        <v>0</v>
      </c>
      <c r="N195">
        <v>10</v>
      </c>
      <c r="O195">
        <v>24.75</v>
      </c>
      <c r="P195">
        <v>23.302</v>
      </c>
      <c r="Q195">
        <v>1.448</v>
      </c>
      <c r="R195">
        <v>15</v>
      </c>
      <c r="S195">
        <v>1650</v>
      </c>
      <c r="T195">
        <v>96</v>
      </c>
      <c r="U195">
        <v>5.8505050505050518</v>
      </c>
      <c r="V195">
        <v>40</v>
      </c>
    </row>
    <row r="196" spans="1:22" x14ac:dyDescent="0.3">
      <c r="A196">
        <v>195</v>
      </c>
      <c r="B196" t="s">
        <v>94</v>
      </c>
      <c r="C196" t="s">
        <v>122</v>
      </c>
      <c r="D196">
        <v>38024009</v>
      </c>
      <c r="E196" t="s">
        <v>120</v>
      </c>
      <c r="F196">
        <v>5</v>
      </c>
      <c r="G196">
        <v>2</v>
      </c>
      <c r="H196">
        <v>4</v>
      </c>
      <c r="I196">
        <v>3</v>
      </c>
      <c r="J196">
        <v>2</v>
      </c>
      <c r="K196">
        <v>4</v>
      </c>
      <c r="L196">
        <v>1</v>
      </c>
      <c r="M196">
        <v>0</v>
      </c>
      <c r="N196">
        <v>11</v>
      </c>
      <c r="O196">
        <v>24.75</v>
      </c>
      <c r="P196">
        <v>22.606999999999999</v>
      </c>
      <c r="Q196">
        <v>2.1430000000000011</v>
      </c>
      <c r="R196">
        <v>15</v>
      </c>
      <c r="S196">
        <v>1650</v>
      </c>
      <c r="T196">
        <v>142</v>
      </c>
      <c r="U196">
        <v>8.6585858585858606</v>
      </c>
      <c r="V196">
        <v>36.363636363636367</v>
      </c>
    </row>
    <row r="197" spans="1:22" x14ac:dyDescent="0.3">
      <c r="A197">
        <v>196</v>
      </c>
      <c r="B197" t="s">
        <v>94</v>
      </c>
      <c r="C197" t="s">
        <v>122</v>
      </c>
      <c r="D197">
        <v>38024009</v>
      </c>
      <c r="E197" t="s">
        <v>120</v>
      </c>
      <c r="F197">
        <v>5</v>
      </c>
      <c r="G197">
        <v>2</v>
      </c>
      <c r="H197">
        <v>3</v>
      </c>
      <c r="I197">
        <v>3</v>
      </c>
      <c r="J197">
        <v>2</v>
      </c>
      <c r="K197">
        <v>4</v>
      </c>
      <c r="L197">
        <v>0</v>
      </c>
      <c r="M197">
        <v>1</v>
      </c>
      <c r="N197">
        <v>10</v>
      </c>
      <c r="O197">
        <v>24.75</v>
      </c>
      <c r="P197">
        <v>22.698</v>
      </c>
      <c r="Q197">
        <v>2.052</v>
      </c>
      <c r="R197">
        <v>15</v>
      </c>
      <c r="S197">
        <v>1650</v>
      </c>
      <c r="T197">
        <v>136</v>
      </c>
      <c r="U197">
        <v>8.2909090909090892</v>
      </c>
      <c r="V197">
        <v>30</v>
      </c>
    </row>
    <row r="198" spans="1:22" x14ac:dyDescent="0.3">
      <c r="A198">
        <v>197</v>
      </c>
      <c r="B198" t="s">
        <v>94</v>
      </c>
      <c r="C198" t="s">
        <v>122</v>
      </c>
      <c r="D198">
        <v>38024009</v>
      </c>
      <c r="E198" t="s">
        <v>120</v>
      </c>
      <c r="F198">
        <v>5</v>
      </c>
      <c r="G198">
        <v>2</v>
      </c>
      <c r="H198">
        <v>3</v>
      </c>
      <c r="I198">
        <v>3</v>
      </c>
      <c r="J198">
        <v>2</v>
      </c>
      <c r="K198">
        <v>4</v>
      </c>
      <c r="L198">
        <v>0</v>
      </c>
      <c r="M198">
        <v>1</v>
      </c>
      <c r="N198">
        <v>10</v>
      </c>
      <c r="O198">
        <v>24.75</v>
      </c>
      <c r="P198">
        <v>23.428000000000001</v>
      </c>
      <c r="Q198">
        <v>1.321999999999999</v>
      </c>
      <c r="R198">
        <v>15</v>
      </c>
      <c r="S198">
        <v>1650</v>
      </c>
      <c r="T198">
        <v>88</v>
      </c>
      <c r="U198">
        <v>5.3414141414141376</v>
      </c>
      <c r="V198">
        <v>30</v>
      </c>
    </row>
    <row r="199" spans="1:22" x14ac:dyDescent="0.3">
      <c r="A199">
        <v>198</v>
      </c>
      <c r="B199" t="s">
        <v>94</v>
      </c>
      <c r="C199" t="s">
        <v>124</v>
      </c>
      <c r="D199">
        <v>38027678</v>
      </c>
      <c r="E199" t="s">
        <v>120</v>
      </c>
      <c r="F199">
        <v>1</v>
      </c>
      <c r="G199">
        <v>1</v>
      </c>
      <c r="H199">
        <v>5</v>
      </c>
      <c r="I199">
        <v>4</v>
      </c>
      <c r="J199">
        <v>3</v>
      </c>
      <c r="K199">
        <v>5</v>
      </c>
      <c r="L199">
        <v>1</v>
      </c>
      <c r="M199">
        <v>0</v>
      </c>
      <c r="N199">
        <v>7</v>
      </c>
      <c r="O199">
        <v>24.75</v>
      </c>
      <c r="P199">
        <v>23.286999999999999</v>
      </c>
      <c r="Q199">
        <v>1.463000000000001</v>
      </c>
      <c r="R199">
        <v>15</v>
      </c>
      <c r="S199">
        <v>1650</v>
      </c>
      <c r="T199">
        <v>97</v>
      </c>
      <c r="U199">
        <v>5.911111111111115</v>
      </c>
      <c r="V199">
        <v>71.428571428571431</v>
      </c>
    </row>
    <row r="200" spans="1:22" x14ac:dyDescent="0.3">
      <c r="A200">
        <v>199</v>
      </c>
      <c r="B200" t="s">
        <v>94</v>
      </c>
      <c r="C200" t="s">
        <v>124</v>
      </c>
      <c r="D200">
        <v>38027678</v>
      </c>
      <c r="E200" t="s">
        <v>120</v>
      </c>
      <c r="F200">
        <v>1</v>
      </c>
      <c r="G200">
        <v>1</v>
      </c>
      <c r="H200">
        <v>4</v>
      </c>
      <c r="I200">
        <v>4</v>
      </c>
      <c r="J200">
        <v>3</v>
      </c>
      <c r="K200">
        <v>5</v>
      </c>
      <c r="L200">
        <v>0</v>
      </c>
      <c r="M200">
        <v>1</v>
      </c>
      <c r="N200">
        <v>6</v>
      </c>
      <c r="O200">
        <v>24.75</v>
      </c>
      <c r="P200">
        <v>22.369</v>
      </c>
      <c r="Q200">
        <v>2.3809999999999998</v>
      </c>
      <c r="R200">
        <v>15</v>
      </c>
      <c r="S200">
        <v>1650</v>
      </c>
      <c r="T200">
        <v>158</v>
      </c>
      <c r="U200">
        <v>9.6202020202020204</v>
      </c>
      <c r="V200">
        <v>66.666666666666657</v>
      </c>
    </row>
    <row r="201" spans="1:22" x14ac:dyDescent="0.3">
      <c r="A201">
        <v>200</v>
      </c>
      <c r="B201" t="s">
        <v>94</v>
      </c>
      <c r="C201" t="s">
        <v>124</v>
      </c>
      <c r="D201">
        <v>38027678</v>
      </c>
      <c r="E201" t="s">
        <v>120</v>
      </c>
      <c r="F201">
        <v>1</v>
      </c>
      <c r="G201">
        <v>1</v>
      </c>
      <c r="H201">
        <v>4</v>
      </c>
      <c r="I201">
        <v>4</v>
      </c>
      <c r="J201">
        <v>3</v>
      </c>
      <c r="K201">
        <v>5</v>
      </c>
      <c r="L201">
        <v>0</v>
      </c>
      <c r="M201">
        <v>1</v>
      </c>
      <c r="N201">
        <v>6</v>
      </c>
      <c r="O201">
        <v>19.530999999999999</v>
      </c>
      <c r="P201">
        <v>18.114999999999998</v>
      </c>
      <c r="Q201">
        <v>1.4159999999999999</v>
      </c>
      <c r="R201">
        <v>15</v>
      </c>
      <c r="S201">
        <v>1302</v>
      </c>
      <c r="T201">
        <v>94</v>
      </c>
      <c r="U201">
        <v>7.2500128001638453</v>
      </c>
      <c r="V201">
        <v>66.666666666666657</v>
      </c>
    </row>
    <row r="202" spans="1:22" x14ac:dyDescent="0.3">
      <c r="A202">
        <v>201</v>
      </c>
      <c r="B202" t="s">
        <v>94</v>
      </c>
      <c r="C202" t="s">
        <v>124</v>
      </c>
      <c r="D202">
        <v>38027678</v>
      </c>
      <c r="E202" t="s">
        <v>120</v>
      </c>
      <c r="F202">
        <v>1</v>
      </c>
      <c r="G202">
        <v>1</v>
      </c>
      <c r="H202">
        <v>5</v>
      </c>
      <c r="I202">
        <v>4</v>
      </c>
      <c r="J202">
        <v>3</v>
      </c>
      <c r="K202">
        <v>5</v>
      </c>
      <c r="L202">
        <v>1</v>
      </c>
      <c r="M202">
        <v>0</v>
      </c>
      <c r="N202">
        <v>7</v>
      </c>
      <c r="O202">
        <v>24.75</v>
      </c>
      <c r="P202">
        <v>21.995000000000001</v>
      </c>
      <c r="Q202">
        <v>2.754999999999999</v>
      </c>
      <c r="R202">
        <v>15</v>
      </c>
      <c r="S202">
        <v>1650</v>
      </c>
      <c r="T202">
        <v>183</v>
      </c>
      <c r="U202">
        <v>11.13131313131313</v>
      </c>
      <c r="V202">
        <v>71.428571428571431</v>
      </c>
    </row>
    <row r="203" spans="1:22" x14ac:dyDescent="0.3">
      <c r="A203">
        <v>202</v>
      </c>
      <c r="B203" t="s">
        <v>94</v>
      </c>
      <c r="C203" t="s">
        <v>124</v>
      </c>
      <c r="D203">
        <v>38027678</v>
      </c>
      <c r="E203" t="s">
        <v>120</v>
      </c>
      <c r="F203">
        <v>1</v>
      </c>
      <c r="G203">
        <v>1</v>
      </c>
      <c r="H203">
        <v>3</v>
      </c>
      <c r="I203">
        <v>4</v>
      </c>
      <c r="J203">
        <v>3</v>
      </c>
      <c r="K203">
        <v>5</v>
      </c>
      <c r="L203">
        <v>-1</v>
      </c>
      <c r="M203">
        <v>1</v>
      </c>
      <c r="N203">
        <v>5</v>
      </c>
      <c r="O203">
        <v>20.497</v>
      </c>
      <c r="P203">
        <v>18.47</v>
      </c>
      <c r="Q203">
        <v>2.027000000000001</v>
      </c>
      <c r="R203">
        <v>15</v>
      </c>
      <c r="S203">
        <v>1366</v>
      </c>
      <c r="T203">
        <v>135</v>
      </c>
      <c r="U203">
        <v>9.8892520856710782</v>
      </c>
      <c r="V203">
        <v>60</v>
      </c>
    </row>
    <row r="204" spans="1:22" x14ac:dyDescent="0.3">
      <c r="A204">
        <v>203</v>
      </c>
      <c r="B204" t="s">
        <v>94</v>
      </c>
      <c r="C204" t="s">
        <v>124</v>
      </c>
      <c r="D204">
        <v>38027778</v>
      </c>
      <c r="E204" t="s">
        <v>125</v>
      </c>
      <c r="F204">
        <v>1</v>
      </c>
      <c r="G204">
        <v>2</v>
      </c>
      <c r="H204">
        <v>3</v>
      </c>
      <c r="I204">
        <v>4</v>
      </c>
      <c r="J204">
        <v>3</v>
      </c>
      <c r="K204">
        <v>5</v>
      </c>
      <c r="L204">
        <v>-1</v>
      </c>
      <c r="M204">
        <v>1</v>
      </c>
      <c r="N204">
        <v>6</v>
      </c>
      <c r="O204">
        <v>21.669</v>
      </c>
      <c r="P204">
        <v>19.914000000000001</v>
      </c>
      <c r="Q204">
        <v>1.754999999999999</v>
      </c>
      <c r="R204">
        <v>15</v>
      </c>
      <c r="S204">
        <v>1444</v>
      </c>
      <c r="T204">
        <v>117</v>
      </c>
      <c r="U204">
        <v>8.0991277862383999</v>
      </c>
      <c r="V204">
        <v>50</v>
      </c>
    </row>
    <row r="205" spans="1:22" x14ac:dyDescent="0.3">
      <c r="A205">
        <v>204</v>
      </c>
      <c r="B205" t="s">
        <v>94</v>
      </c>
      <c r="C205" t="s">
        <v>124</v>
      </c>
      <c r="D205">
        <v>38027778</v>
      </c>
      <c r="E205" t="s">
        <v>125</v>
      </c>
      <c r="F205">
        <v>1</v>
      </c>
      <c r="G205">
        <v>2</v>
      </c>
      <c r="H205">
        <v>3</v>
      </c>
      <c r="I205">
        <v>4</v>
      </c>
      <c r="J205">
        <v>3</v>
      </c>
      <c r="K205">
        <v>5</v>
      </c>
      <c r="L205">
        <v>-1</v>
      </c>
      <c r="M205">
        <v>1</v>
      </c>
      <c r="N205">
        <v>6</v>
      </c>
      <c r="O205">
        <v>24.306999999999999</v>
      </c>
      <c r="P205">
        <v>22.387</v>
      </c>
      <c r="Q205">
        <v>1.9199999999999979</v>
      </c>
      <c r="R205">
        <v>15</v>
      </c>
      <c r="S205">
        <v>1620</v>
      </c>
      <c r="T205">
        <v>128</v>
      </c>
      <c r="U205">
        <v>7.8989591475706513</v>
      </c>
      <c r="V205">
        <v>50</v>
      </c>
    </row>
    <row r="206" spans="1:22" x14ac:dyDescent="0.3">
      <c r="A206">
        <v>205</v>
      </c>
      <c r="B206" t="s">
        <v>94</v>
      </c>
      <c r="C206" t="s">
        <v>124</v>
      </c>
      <c r="D206">
        <v>38027778</v>
      </c>
      <c r="E206" t="s">
        <v>125</v>
      </c>
      <c r="F206">
        <v>1</v>
      </c>
      <c r="G206">
        <v>2</v>
      </c>
      <c r="H206">
        <v>4</v>
      </c>
      <c r="I206">
        <v>4</v>
      </c>
      <c r="J206">
        <v>3</v>
      </c>
      <c r="K206">
        <v>5</v>
      </c>
      <c r="L206">
        <v>0</v>
      </c>
      <c r="M206">
        <v>1</v>
      </c>
      <c r="N206">
        <v>7</v>
      </c>
      <c r="O206">
        <v>24.587</v>
      </c>
      <c r="P206">
        <v>21.902000000000001</v>
      </c>
      <c r="Q206">
        <v>2.6849999999999992</v>
      </c>
      <c r="R206">
        <v>15</v>
      </c>
      <c r="S206">
        <v>1639</v>
      </c>
      <c r="T206">
        <v>179</v>
      </c>
      <c r="U206">
        <v>10.92040509212185</v>
      </c>
      <c r="V206">
        <v>57.142857142857139</v>
      </c>
    </row>
    <row r="207" spans="1:22" x14ac:dyDescent="0.3">
      <c r="A207">
        <v>206</v>
      </c>
      <c r="B207" t="s">
        <v>118</v>
      </c>
      <c r="C207" t="s">
        <v>97</v>
      </c>
      <c r="D207">
        <v>38034865</v>
      </c>
      <c r="E207" t="s">
        <v>107</v>
      </c>
      <c r="F207">
        <v>24</v>
      </c>
      <c r="G207">
        <v>1</v>
      </c>
      <c r="H207">
        <v>4</v>
      </c>
      <c r="I207">
        <v>3</v>
      </c>
      <c r="J207">
        <v>2</v>
      </c>
      <c r="K207">
        <v>4</v>
      </c>
      <c r="L207">
        <v>1</v>
      </c>
      <c r="M207">
        <v>0</v>
      </c>
      <c r="N207">
        <v>29</v>
      </c>
      <c r="O207">
        <v>24.75</v>
      </c>
      <c r="P207">
        <v>22.899000000000001</v>
      </c>
      <c r="Q207">
        <v>1.8509999999999991</v>
      </c>
      <c r="R207">
        <v>15</v>
      </c>
      <c r="S207">
        <v>1650</v>
      </c>
      <c r="T207">
        <v>123</v>
      </c>
      <c r="U207">
        <v>7.478787878787875</v>
      </c>
      <c r="V207">
        <v>13.793103448275859</v>
      </c>
    </row>
    <row r="208" spans="1:22" x14ac:dyDescent="0.3">
      <c r="A208">
        <v>207</v>
      </c>
      <c r="B208" t="s">
        <v>118</v>
      </c>
      <c r="C208" t="s">
        <v>97</v>
      </c>
      <c r="D208">
        <v>38034865</v>
      </c>
      <c r="E208" t="s">
        <v>107</v>
      </c>
      <c r="F208">
        <v>24</v>
      </c>
      <c r="G208">
        <v>1</v>
      </c>
      <c r="H208">
        <v>2</v>
      </c>
      <c r="I208">
        <v>3</v>
      </c>
      <c r="J208">
        <v>2</v>
      </c>
      <c r="K208">
        <v>4</v>
      </c>
      <c r="L208">
        <v>-1</v>
      </c>
      <c r="M208">
        <v>1</v>
      </c>
      <c r="N208">
        <v>27</v>
      </c>
      <c r="O208">
        <v>24.75</v>
      </c>
      <c r="P208">
        <v>21.670999999999999</v>
      </c>
      <c r="Q208">
        <v>3.0790000000000011</v>
      </c>
      <c r="R208">
        <v>1000</v>
      </c>
      <c r="S208">
        <v>24</v>
      </c>
      <c r="T208">
        <v>3</v>
      </c>
      <c r="U208">
        <v>12.44040404040404</v>
      </c>
      <c r="V208">
        <v>7.4074074074074074</v>
      </c>
    </row>
    <row r="209" spans="1:22" x14ac:dyDescent="0.3">
      <c r="A209">
        <v>208</v>
      </c>
      <c r="B209" t="s">
        <v>118</v>
      </c>
      <c r="C209" t="s">
        <v>97</v>
      </c>
      <c r="D209">
        <v>38034865</v>
      </c>
      <c r="E209" t="s">
        <v>107</v>
      </c>
      <c r="F209">
        <v>24</v>
      </c>
      <c r="G209">
        <v>1</v>
      </c>
      <c r="H209">
        <v>5</v>
      </c>
      <c r="I209">
        <v>3</v>
      </c>
      <c r="J209">
        <v>2</v>
      </c>
      <c r="K209">
        <v>4</v>
      </c>
      <c r="L209">
        <v>2</v>
      </c>
      <c r="M209">
        <v>0</v>
      </c>
      <c r="N209">
        <v>30</v>
      </c>
      <c r="O209">
        <v>24.75</v>
      </c>
      <c r="P209">
        <v>22.721</v>
      </c>
      <c r="Q209">
        <v>2.0289999999999999</v>
      </c>
      <c r="R209">
        <v>1000</v>
      </c>
      <c r="S209">
        <v>24</v>
      </c>
      <c r="T209">
        <v>2</v>
      </c>
      <c r="U209">
        <v>8.1979797979797979</v>
      </c>
      <c r="V209">
        <v>16.666666666666661</v>
      </c>
    </row>
    <row r="210" spans="1:22" x14ac:dyDescent="0.3">
      <c r="A210">
        <v>209</v>
      </c>
      <c r="B210" t="s">
        <v>126</v>
      </c>
      <c r="C210" t="s">
        <v>119</v>
      </c>
      <c r="D210">
        <v>38048577</v>
      </c>
      <c r="E210" t="s">
        <v>127</v>
      </c>
      <c r="F210">
        <v>11</v>
      </c>
      <c r="G210">
        <v>1</v>
      </c>
      <c r="H210">
        <v>3</v>
      </c>
      <c r="I210">
        <v>2</v>
      </c>
      <c r="J210">
        <v>2</v>
      </c>
      <c r="K210">
        <v>4</v>
      </c>
      <c r="L210">
        <v>1</v>
      </c>
      <c r="M210">
        <v>0</v>
      </c>
      <c r="N210">
        <v>15</v>
      </c>
      <c r="O210">
        <v>24.75</v>
      </c>
      <c r="P210">
        <v>22.087</v>
      </c>
      <c r="Q210">
        <v>2.6629999999999998</v>
      </c>
      <c r="R210">
        <v>1000</v>
      </c>
      <c r="S210">
        <v>24</v>
      </c>
      <c r="T210">
        <v>2</v>
      </c>
      <c r="U210">
        <v>10.759595959595959</v>
      </c>
      <c r="V210">
        <v>20</v>
      </c>
    </row>
    <row r="211" spans="1:22" x14ac:dyDescent="0.3">
      <c r="A211">
        <v>210</v>
      </c>
      <c r="B211" t="s">
        <v>126</v>
      </c>
      <c r="C211" t="s">
        <v>119</v>
      </c>
      <c r="D211">
        <v>38048577</v>
      </c>
      <c r="E211" t="s">
        <v>127</v>
      </c>
      <c r="F211">
        <v>11</v>
      </c>
      <c r="G211">
        <v>1</v>
      </c>
      <c r="H211">
        <v>4</v>
      </c>
      <c r="I211">
        <v>2</v>
      </c>
      <c r="J211">
        <v>2</v>
      </c>
      <c r="K211">
        <v>4</v>
      </c>
      <c r="L211">
        <v>2</v>
      </c>
      <c r="M211">
        <v>0</v>
      </c>
      <c r="N211">
        <v>16</v>
      </c>
      <c r="O211">
        <v>24.75</v>
      </c>
      <c r="P211">
        <v>21.640999999999998</v>
      </c>
      <c r="Q211">
        <v>3.1090000000000022</v>
      </c>
      <c r="R211">
        <v>20</v>
      </c>
      <c r="S211">
        <v>1237</v>
      </c>
      <c r="T211">
        <v>155</v>
      </c>
      <c r="U211">
        <v>12.56161616161617</v>
      </c>
      <c r="V211">
        <v>25</v>
      </c>
    </row>
    <row r="212" spans="1:22" x14ac:dyDescent="0.3">
      <c r="A212">
        <v>211</v>
      </c>
      <c r="B212" t="s">
        <v>126</v>
      </c>
      <c r="C212" t="s">
        <v>119</v>
      </c>
      <c r="D212">
        <v>38048577</v>
      </c>
      <c r="E212" t="s">
        <v>127</v>
      </c>
      <c r="F212">
        <v>11</v>
      </c>
      <c r="G212">
        <v>1</v>
      </c>
      <c r="H212">
        <v>3</v>
      </c>
      <c r="I212">
        <v>2</v>
      </c>
      <c r="J212">
        <v>2</v>
      </c>
      <c r="K212">
        <v>4</v>
      </c>
      <c r="L212">
        <v>1</v>
      </c>
      <c r="M212">
        <v>0</v>
      </c>
      <c r="N212">
        <v>15</v>
      </c>
      <c r="O212">
        <v>24.672999999999998</v>
      </c>
      <c r="P212">
        <v>22.094999999999999</v>
      </c>
      <c r="Q212">
        <v>2.577999999999999</v>
      </c>
      <c r="R212">
        <v>20</v>
      </c>
      <c r="S212">
        <v>1233</v>
      </c>
      <c r="T212">
        <v>128</v>
      </c>
      <c r="U212">
        <v>10.448668585093021</v>
      </c>
      <c r="V212">
        <v>20</v>
      </c>
    </row>
    <row r="213" spans="1:22" x14ac:dyDescent="0.3">
      <c r="A213">
        <v>212</v>
      </c>
      <c r="B213" t="s">
        <v>94</v>
      </c>
      <c r="C213" t="s">
        <v>95</v>
      </c>
      <c r="D213">
        <v>38055408</v>
      </c>
      <c r="E213" t="s">
        <v>103</v>
      </c>
      <c r="F213">
        <v>3</v>
      </c>
      <c r="G213">
        <v>1</v>
      </c>
      <c r="H213">
        <v>4</v>
      </c>
      <c r="I213">
        <v>3</v>
      </c>
      <c r="J213">
        <v>2</v>
      </c>
      <c r="K213">
        <v>4</v>
      </c>
      <c r="L213">
        <v>1</v>
      </c>
      <c r="M213">
        <v>0</v>
      </c>
      <c r="N213">
        <v>8</v>
      </c>
      <c r="O213">
        <v>20.975000000000001</v>
      </c>
      <c r="P213">
        <v>19.689</v>
      </c>
      <c r="Q213">
        <v>1.2860000000000009</v>
      </c>
      <c r="R213">
        <v>20</v>
      </c>
      <c r="S213">
        <v>1048</v>
      </c>
      <c r="T213">
        <v>64</v>
      </c>
      <c r="U213">
        <v>6.1311084624553098</v>
      </c>
      <c r="V213">
        <v>50</v>
      </c>
    </row>
    <row r="214" spans="1:22" x14ac:dyDescent="0.3">
      <c r="A214">
        <v>213</v>
      </c>
      <c r="B214" t="s">
        <v>94</v>
      </c>
      <c r="C214" t="s">
        <v>95</v>
      </c>
      <c r="D214">
        <v>38055408</v>
      </c>
      <c r="E214" t="s">
        <v>103</v>
      </c>
      <c r="F214">
        <v>3</v>
      </c>
      <c r="G214">
        <v>1</v>
      </c>
      <c r="H214">
        <v>5</v>
      </c>
      <c r="I214">
        <v>3</v>
      </c>
      <c r="J214">
        <v>2</v>
      </c>
      <c r="K214">
        <v>4</v>
      </c>
      <c r="L214">
        <v>2</v>
      </c>
      <c r="M214">
        <v>0</v>
      </c>
      <c r="N214">
        <v>9</v>
      </c>
      <c r="O214">
        <v>23.440999999999999</v>
      </c>
      <c r="P214">
        <v>20.585999999999999</v>
      </c>
      <c r="Q214">
        <v>2.855</v>
      </c>
      <c r="R214">
        <v>25</v>
      </c>
      <c r="S214">
        <v>937</v>
      </c>
      <c r="T214">
        <v>114</v>
      </c>
      <c r="U214">
        <v>12.179514525830809</v>
      </c>
      <c r="V214">
        <v>55.555555555555557</v>
      </c>
    </row>
    <row r="215" spans="1:22" x14ac:dyDescent="0.3">
      <c r="A215">
        <v>214</v>
      </c>
      <c r="B215" t="s">
        <v>94</v>
      </c>
      <c r="C215" t="s">
        <v>97</v>
      </c>
      <c r="D215">
        <v>38067364</v>
      </c>
      <c r="E215" t="s">
        <v>103</v>
      </c>
      <c r="F215">
        <v>3</v>
      </c>
      <c r="G215">
        <v>1</v>
      </c>
      <c r="H215">
        <v>3</v>
      </c>
      <c r="I215">
        <v>3</v>
      </c>
      <c r="J215">
        <v>2</v>
      </c>
      <c r="K215">
        <v>5</v>
      </c>
      <c r="L215">
        <v>0</v>
      </c>
      <c r="M215">
        <v>1</v>
      </c>
      <c r="N215">
        <v>7</v>
      </c>
      <c r="O215">
        <v>23.023</v>
      </c>
      <c r="P215">
        <v>21.073</v>
      </c>
      <c r="Q215">
        <v>1.9499999999999991</v>
      </c>
      <c r="R215">
        <v>25</v>
      </c>
      <c r="S215">
        <v>920</v>
      </c>
      <c r="T215">
        <v>78</v>
      </c>
      <c r="U215">
        <v>8.469791078486729</v>
      </c>
      <c r="V215">
        <v>42.857142857142847</v>
      </c>
    </row>
    <row r="216" spans="1:22" x14ac:dyDescent="0.3">
      <c r="A216">
        <v>215</v>
      </c>
      <c r="B216" t="s">
        <v>94</v>
      </c>
      <c r="C216" t="s">
        <v>97</v>
      </c>
      <c r="D216">
        <v>38067364</v>
      </c>
      <c r="E216" t="s">
        <v>103</v>
      </c>
      <c r="F216">
        <v>3</v>
      </c>
      <c r="G216">
        <v>1</v>
      </c>
      <c r="H216">
        <v>3</v>
      </c>
      <c r="I216">
        <v>3</v>
      </c>
      <c r="J216">
        <v>2</v>
      </c>
      <c r="K216">
        <v>5</v>
      </c>
      <c r="L216">
        <v>0</v>
      </c>
      <c r="M216">
        <v>1</v>
      </c>
      <c r="N216">
        <v>7</v>
      </c>
      <c r="O216">
        <v>21.427</v>
      </c>
      <c r="P216">
        <v>19.779</v>
      </c>
      <c r="Q216">
        <v>1.6479999999999999</v>
      </c>
      <c r="R216">
        <v>25</v>
      </c>
      <c r="S216">
        <v>857</v>
      </c>
      <c r="T216">
        <v>65</v>
      </c>
      <c r="U216">
        <v>7.6912306902506167</v>
      </c>
      <c r="V216">
        <v>42.857142857142847</v>
      </c>
    </row>
    <row r="217" spans="1:22" x14ac:dyDescent="0.3">
      <c r="A217">
        <v>216</v>
      </c>
      <c r="B217" t="s">
        <v>94</v>
      </c>
      <c r="C217" t="s">
        <v>113</v>
      </c>
      <c r="D217">
        <v>38084880</v>
      </c>
      <c r="E217" t="s">
        <v>128</v>
      </c>
      <c r="F217">
        <v>5</v>
      </c>
      <c r="G217">
        <v>0</v>
      </c>
      <c r="H217">
        <v>3</v>
      </c>
      <c r="I217">
        <v>2</v>
      </c>
      <c r="J217">
        <v>1</v>
      </c>
      <c r="K217">
        <v>3</v>
      </c>
      <c r="L217">
        <v>1</v>
      </c>
      <c r="M217">
        <v>0</v>
      </c>
      <c r="N217">
        <v>8</v>
      </c>
      <c r="O217">
        <v>24.75</v>
      </c>
      <c r="P217">
        <v>23.151</v>
      </c>
      <c r="Q217">
        <v>1.599</v>
      </c>
      <c r="R217">
        <v>50</v>
      </c>
      <c r="S217">
        <v>495</v>
      </c>
      <c r="T217">
        <v>31</v>
      </c>
      <c r="U217">
        <v>6.4606060606060609</v>
      </c>
      <c r="V217">
        <v>37.5</v>
      </c>
    </row>
    <row r="218" spans="1:22" x14ac:dyDescent="0.3">
      <c r="A218">
        <v>217</v>
      </c>
      <c r="B218" t="s">
        <v>94</v>
      </c>
      <c r="C218" t="s">
        <v>113</v>
      </c>
      <c r="D218">
        <v>38084880</v>
      </c>
      <c r="E218" t="s">
        <v>128</v>
      </c>
      <c r="F218">
        <v>5</v>
      </c>
      <c r="G218">
        <v>0</v>
      </c>
      <c r="H218">
        <v>3</v>
      </c>
      <c r="I218">
        <v>2</v>
      </c>
      <c r="J218">
        <v>1</v>
      </c>
      <c r="K218">
        <v>3</v>
      </c>
      <c r="L218">
        <v>1</v>
      </c>
      <c r="M218">
        <v>0</v>
      </c>
      <c r="N218">
        <v>8</v>
      </c>
      <c r="O218">
        <v>24.75</v>
      </c>
      <c r="P218">
        <v>23.329000000000001</v>
      </c>
      <c r="Q218">
        <v>1.4209999999999989</v>
      </c>
      <c r="R218">
        <v>50</v>
      </c>
      <c r="S218">
        <v>495</v>
      </c>
      <c r="T218">
        <v>28</v>
      </c>
      <c r="U218">
        <v>5.7414141414141389</v>
      </c>
      <c r="V218">
        <v>37.5</v>
      </c>
    </row>
    <row r="219" spans="1:22" x14ac:dyDescent="0.3">
      <c r="A219">
        <v>218</v>
      </c>
      <c r="B219" t="s">
        <v>94</v>
      </c>
      <c r="C219" t="s">
        <v>113</v>
      </c>
      <c r="D219">
        <v>38084880</v>
      </c>
      <c r="E219" t="s">
        <v>128</v>
      </c>
      <c r="F219">
        <v>5</v>
      </c>
      <c r="G219">
        <v>0</v>
      </c>
      <c r="H219">
        <v>3</v>
      </c>
      <c r="I219">
        <v>2</v>
      </c>
      <c r="J219">
        <v>1</v>
      </c>
      <c r="K219">
        <v>3</v>
      </c>
      <c r="L219">
        <v>1</v>
      </c>
      <c r="M219">
        <v>0</v>
      </c>
      <c r="N219">
        <v>8</v>
      </c>
      <c r="O219">
        <v>24.75</v>
      </c>
      <c r="P219">
        <v>21.460999999999999</v>
      </c>
      <c r="Q219">
        <v>3.289000000000001</v>
      </c>
      <c r="R219">
        <v>50</v>
      </c>
      <c r="S219">
        <v>495</v>
      </c>
      <c r="T219">
        <v>65</v>
      </c>
      <c r="U219">
        <v>13.28888888888889</v>
      </c>
      <c r="V219">
        <v>37.5</v>
      </c>
    </row>
    <row r="220" spans="1:22" x14ac:dyDescent="0.3">
      <c r="A220">
        <v>219</v>
      </c>
      <c r="B220" t="s">
        <v>94</v>
      </c>
      <c r="C220" t="s">
        <v>113</v>
      </c>
      <c r="D220">
        <v>38084880</v>
      </c>
      <c r="E220" t="s">
        <v>128</v>
      </c>
      <c r="F220">
        <v>5</v>
      </c>
      <c r="G220">
        <v>0</v>
      </c>
      <c r="H220">
        <v>2</v>
      </c>
      <c r="I220">
        <v>2</v>
      </c>
      <c r="J220">
        <v>1</v>
      </c>
      <c r="K220">
        <v>3</v>
      </c>
      <c r="L220">
        <v>0</v>
      </c>
      <c r="M220">
        <v>1</v>
      </c>
      <c r="N220">
        <v>7</v>
      </c>
      <c r="O220">
        <v>19.733000000000001</v>
      </c>
      <c r="P220">
        <v>18.119</v>
      </c>
      <c r="Q220">
        <v>1.614000000000001</v>
      </c>
      <c r="R220">
        <v>50</v>
      </c>
      <c r="S220">
        <v>394</v>
      </c>
      <c r="T220">
        <v>32</v>
      </c>
      <c r="U220">
        <v>8.1791922160847346</v>
      </c>
      <c r="V220">
        <v>28.571428571428569</v>
      </c>
    </row>
    <row r="221" spans="1:22" x14ac:dyDescent="0.3">
      <c r="A221">
        <v>220</v>
      </c>
      <c r="B221" t="s">
        <v>121</v>
      </c>
      <c r="C221" t="s">
        <v>95</v>
      </c>
      <c r="D221">
        <v>38097581</v>
      </c>
      <c r="E221" t="s">
        <v>96</v>
      </c>
      <c r="F221">
        <v>2</v>
      </c>
      <c r="G221">
        <v>5</v>
      </c>
      <c r="H221">
        <v>4</v>
      </c>
      <c r="I221">
        <v>3</v>
      </c>
      <c r="J221">
        <v>2</v>
      </c>
      <c r="K221">
        <v>4</v>
      </c>
      <c r="L221">
        <v>1</v>
      </c>
      <c r="M221">
        <v>0</v>
      </c>
      <c r="N221">
        <v>11</v>
      </c>
      <c r="O221">
        <v>24.75</v>
      </c>
      <c r="P221">
        <v>23.446000000000002</v>
      </c>
      <c r="Q221">
        <v>1.303999999999998</v>
      </c>
      <c r="R221">
        <v>25</v>
      </c>
      <c r="S221">
        <v>990</v>
      </c>
      <c r="T221">
        <v>52</v>
      </c>
      <c r="U221">
        <v>5.2686868686868626</v>
      </c>
      <c r="V221">
        <v>36.363636363636367</v>
      </c>
    </row>
    <row r="222" spans="1:22" x14ac:dyDescent="0.3">
      <c r="A222">
        <v>221</v>
      </c>
      <c r="B222" t="s">
        <v>121</v>
      </c>
      <c r="C222" t="s">
        <v>95</v>
      </c>
      <c r="D222">
        <v>38097581</v>
      </c>
      <c r="E222" t="s">
        <v>96</v>
      </c>
      <c r="F222">
        <v>2</v>
      </c>
      <c r="G222">
        <v>5</v>
      </c>
      <c r="H222">
        <v>2</v>
      </c>
      <c r="I222">
        <v>3</v>
      </c>
      <c r="J222">
        <v>2</v>
      </c>
      <c r="K222">
        <v>4</v>
      </c>
      <c r="L222">
        <v>-1</v>
      </c>
      <c r="M222">
        <v>1</v>
      </c>
      <c r="N222">
        <v>9</v>
      </c>
      <c r="O222">
        <v>24.75</v>
      </c>
      <c r="P222">
        <v>22.661000000000001</v>
      </c>
      <c r="Q222">
        <v>2.0889999999999991</v>
      </c>
      <c r="R222">
        <v>25</v>
      </c>
      <c r="S222">
        <v>990</v>
      </c>
      <c r="T222">
        <v>83</v>
      </c>
      <c r="U222">
        <v>8.4404040404040348</v>
      </c>
      <c r="V222">
        <v>22.222222222222221</v>
      </c>
    </row>
    <row r="223" spans="1:22" x14ac:dyDescent="0.3">
      <c r="A223">
        <v>222</v>
      </c>
      <c r="B223" t="s">
        <v>121</v>
      </c>
      <c r="C223" t="s">
        <v>95</v>
      </c>
      <c r="D223">
        <v>38097581</v>
      </c>
      <c r="E223" t="s">
        <v>96</v>
      </c>
      <c r="F223">
        <v>2</v>
      </c>
      <c r="G223">
        <v>5</v>
      </c>
      <c r="H223">
        <v>2</v>
      </c>
      <c r="I223">
        <v>3</v>
      </c>
      <c r="J223">
        <v>2</v>
      </c>
      <c r="K223">
        <v>4</v>
      </c>
      <c r="L223">
        <v>-1</v>
      </c>
      <c r="M223">
        <v>1</v>
      </c>
      <c r="N223">
        <v>9</v>
      </c>
      <c r="O223">
        <v>24.75</v>
      </c>
      <c r="P223">
        <v>22.577000000000002</v>
      </c>
      <c r="Q223">
        <v>2.1729999999999978</v>
      </c>
      <c r="R223">
        <v>25</v>
      </c>
      <c r="S223">
        <v>990</v>
      </c>
      <c r="T223">
        <v>86</v>
      </c>
      <c r="U223">
        <v>8.7797979797979728</v>
      </c>
      <c r="V223">
        <v>22.222222222222221</v>
      </c>
    </row>
    <row r="224" spans="1:22" x14ac:dyDescent="0.3">
      <c r="A224">
        <v>223</v>
      </c>
      <c r="B224" t="s">
        <v>121</v>
      </c>
      <c r="C224" t="s">
        <v>129</v>
      </c>
      <c r="D224">
        <v>38097803</v>
      </c>
      <c r="E224" t="s">
        <v>96</v>
      </c>
      <c r="F224">
        <v>2</v>
      </c>
      <c r="G224">
        <v>10</v>
      </c>
      <c r="H224">
        <v>5</v>
      </c>
      <c r="I224">
        <v>4</v>
      </c>
      <c r="J224">
        <v>3</v>
      </c>
      <c r="K224">
        <v>5</v>
      </c>
      <c r="L224">
        <v>1</v>
      </c>
      <c r="M224">
        <v>0</v>
      </c>
      <c r="N224">
        <v>17</v>
      </c>
      <c r="O224">
        <v>24.75</v>
      </c>
      <c r="P224">
        <v>23.03</v>
      </c>
      <c r="Q224">
        <v>1.7199999999999991</v>
      </c>
      <c r="R224">
        <v>25</v>
      </c>
      <c r="S224">
        <v>990</v>
      </c>
      <c r="T224">
        <v>68</v>
      </c>
      <c r="U224">
        <v>6.9494949494949454</v>
      </c>
      <c r="V224">
        <v>29.411764705882359</v>
      </c>
    </row>
    <row r="225" spans="1:22" x14ac:dyDescent="0.3">
      <c r="A225">
        <v>224</v>
      </c>
      <c r="B225" t="s">
        <v>121</v>
      </c>
      <c r="C225" t="s">
        <v>129</v>
      </c>
      <c r="D225">
        <v>38097803</v>
      </c>
      <c r="E225" t="s">
        <v>96</v>
      </c>
      <c r="F225">
        <v>2</v>
      </c>
      <c r="G225">
        <v>10</v>
      </c>
      <c r="H225">
        <v>4</v>
      </c>
      <c r="I225">
        <v>4</v>
      </c>
      <c r="J225">
        <v>3</v>
      </c>
      <c r="K225">
        <v>5</v>
      </c>
      <c r="L225">
        <v>0</v>
      </c>
      <c r="M225">
        <v>1</v>
      </c>
      <c r="N225">
        <v>16</v>
      </c>
      <c r="O225">
        <v>21.108000000000001</v>
      </c>
      <c r="P225">
        <v>19.600999999999999</v>
      </c>
      <c r="Q225">
        <v>1.507000000000001</v>
      </c>
      <c r="R225">
        <v>60</v>
      </c>
      <c r="S225">
        <v>351</v>
      </c>
      <c r="T225">
        <v>25</v>
      </c>
      <c r="U225">
        <v>7.1394731855220854</v>
      </c>
      <c r="V225">
        <v>25</v>
      </c>
    </row>
    <row r="226" spans="1:22" x14ac:dyDescent="0.3">
      <c r="A226">
        <v>225</v>
      </c>
      <c r="B226" t="s">
        <v>121</v>
      </c>
      <c r="C226" t="s">
        <v>129</v>
      </c>
      <c r="D226">
        <v>38097803</v>
      </c>
      <c r="E226" t="s">
        <v>96</v>
      </c>
      <c r="F226">
        <v>2</v>
      </c>
      <c r="G226">
        <v>10</v>
      </c>
      <c r="H226">
        <v>4</v>
      </c>
      <c r="I226">
        <v>4</v>
      </c>
      <c r="J226">
        <v>3</v>
      </c>
      <c r="K226">
        <v>5</v>
      </c>
      <c r="L226">
        <v>0</v>
      </c>
      <c r="M226">
        <v>1</v>
      </c>
      <c r="N226">
        <v>16</v>
      </c>
      <c r="O226">
        <v>21.965</v>
      </c>
      <c r="P226">
        <v>20.579000000000001</v>
      </c>
      <c r="Q226">
        <v>1.385999999999999</v>
      </c>
      <c r="R226">
        <v>60</v>
      </c>
      <c r="S226">
        <v>366</v>
      </c>
      <c r="T226">
        <v>23</v>
      </c>
      <c r="U226">
        <v>6.310038697928519</v>
      </c>
      <c r="V226">
        <v>25</v>
      </c>
    </row>
    <row r="227" spans="1:22" x14ac:dyDescent="0.3">
      <c r="A227">
        <v>226</v>
      </c>
      <c r="B227" t="s">
        <v>126</v>
      </c>
      <c r="C227" t="s">
        <v>119</v>
      </c>
      <c r="D227">
        <v>38116886</v>
      </c>
      <c r="E227" t="s">
        <v>127</v>
      </c>
      <c r="F227">
        <v>12</v>
      </c>
      <c r="G227">
        <v>14</v>
      </c>
      <c r="H227">
        <v>2</v>
      </c>
      <c r="I227">
        <v>2</v>
      </c>
      <c r="J227">
        <v>2</v>
      </c>
      <c r="K227">
        <v>4</v>
      </c>
      <c r="L227">
        <v>0</v>
      </c>
      <c r="M227">
        <v>1</v>
      </c>
      <c r="N227">
        <v>28</v>
      </c>
      <c r="O227">
        <v>24.75</v>
      </c>
      <c r="P227">
        <v>22.966000000000001</v>
      </c>
      <c r="Q227">
        <v>1.7839999999999989</v>
      </c>
      <c r="R227">
        <v>60</v>
      </c>
      <c r="S227">
        <v>412</v>
      </c>
      <c r="T227">
        <v>29</v>
      </c>
      <c r="U227">
        <v>7.2080808080808039</v>
      </c>
      <c r="V227">
        <v>7.1428571428571423</v>
      </c>
    </row>
    <row r="228" spans="1:22" x14ac:dyDescent="0.3">
      <c r="A228">
        <v>227</v>
      </c>
      <c r="B228" t="s">
        <v>126</v>
      </c>
      <c r="C228" t="s">
        <v>119</v>
      </c>
      <c r="D228">
        <v>38116886</v>
      </c>
      <c r="E228" t="s">
        <v>127</v>
      </c>
      <c r="F228">
        <v>12</v>
      </c>
      <c r="G228">
        <v>6</v>
      </c>
      <c r="H228">
        <v>2</v>
      </c>
      <c r="I228">
        <v>2</v>
      </c>
      <c r="J228">
        <v>2</v>
      </c>
      <c r="K228">
        <v>4</v>
      </c>
      <c r="L228">
        <v>0</v>
      </c>
      <c r="M228">
        <v>1</v>
      </c>
      <c r="N228">
        <v>20</v>
      </c>
      <c r="O228">
        <v>20.263999999999999</v>
      </c>
      <c r="P228">
        <v>18.466999999999999</v>
      </c>
      <c r="Q228">
        <v>1.797000000000001</v>
      </c>
      <c r="R228">
        <v>60</v>
      </c>
      <c r="S228">
        <v>337</v>
      </c>
      <c r="T228">
        <v>29</v>
      </c>
      <c r="U228">
        <v>8.867943150414531</v>
      </c>
      <c r="V228">
        <v>10</v>
      </c>
    </row>
    <row r="229" spans="1:22" x14ac:dyDescent="0.3">
      <c r="A229">
        <v>228</v>
      </c>
      <c r="B229" t="s">
        <v>126</v>
      </c>
      <c r="C229" t="s">
        <v>119</v>
      </c>
      <c r="D229">
        <v>38116886</v>
      </c>
      <c r="E229" t="s">
        <v>127</v>
      </c>
      <c r="F229">
        <v>12</v>
      </c>
      <c r="G229">
        <v>6</v>
      </c>
      <c r="H229">
        <v>4</v>
      </c>
      <c r="I229">
        <v>2</v>
      </c>
      <c r="J229">
        <v>2</v>
      </c>
      <c r="K229">
        <v>4</v>
      </c>
      <c r="L229">
        <v>2</v>
      </c>
      <c r="M229">
        <v>0</v>
      </c>
      <c r="N229">
        <v>22</v>
      </c>
      <c r="O229">
        <v>24.75</v>
      </c>
      <c r="P229">
        <v>23.218</v>
      </c>
      <c r="Q229">
        <v>1.532</v>
      </c>
      <c r="R229">
        <v>60</v>
      </c>
      <c r="S229">
        <v>412</v>
      </c>
      <c r="T229">
        <v>25</v>
      </c>
      <c r="U229">
        <v>6.1898989898989898</v>
      </c>
      <c r="V229">
        <v>18.18181818181818</v>
      </c>
    </row>
    <row r="230" spans="1:22" x14ac:dyDescent="0.3">
      <c r="A230">
        <v>229</v>
      </c>
      <c r="B230" t="s">
        <v>121</v>
      </c>
      <c r="C230" t="s">
        <v>97</v>
      </c>
      <c r="D230">
        <v>38156397</v>
      </c>
      <c r="E230" t="s">
        <v>96</v>
      </c>
      <c r="F230">
        <v>12</v>
      </c>
      <c r="G230">
        <v>4</v>
      </c>
      <c r="H230">
        <v>2</v>
      </c>
      <c r="I230">
        <v>3</v>
      </c>
      <c r="J230">
        <v>2</v>
      </c>
      <c r="K230">
        <v>4</v>
      </c>
      <c r="L230">
        <v>-1</v>
      </c>
      <c r="M230">
        <v>1</v>
      </c>
      <c r="N230">
        <v>18</v>
      </c>
      <c r="O230">
        <v>21.074000000000002</v>
      </c>
      <c r="P230">
        <v>19.786000000000001</v>
      </c>
      <c r="Q230">
        <v>1.288</v>
      </c>
      <c r="R230">
        <v>60</v>
      </c>
      <c r="S230">
        <v>351</v>
      </c>
      <c r="T230">
        <v>21</v>
      </c>
      <c r="U230">
        <v>6.1117965265255769</v>
      </c>
      <c r="V230">
        <v>11.111111111111111</v>
      </c>
    </row>
    <row r="231" spans="1:22" x14ac:dyDescent="0.3">
      <c r="A231">
        <v>230</v>
      </c>
      <c r="B231" t="s">
        <v>121</v>
      </c>
      <c r="C231" t="s">
        <v>95</v>
      </c>
      <c r="D231">
        <v>38156397</v>
      </c>
      <c r="E231" t="s">
        <v>96</v>
      </c>
      <c r="F231">
        <v>12</v>
      </c>
      <c r="G231">
        <v>4</v>
      </c>
      <c r="H231">
        <v>2</v>
      </c>
      <c r="I231">
        <v>3</v>
      </c>
      <c r="J231">
        <v>2</v>
      </c>
      <c r="K231">
        <v>4</v>
      </c>
      <c r="L231">
        <v>-1</v>
      </c>
      <c r="M231">
        <v>1</v>
      </c>
      <c r="N231">
        <v>18</v>
      </c>
      <c r="O231">
        <v>21.327000000000002</v>
      </c>
      <c r="P231">
        <v>19.762</v>
      </c>
      <c r="Q231">
        <v>1.5650000000000011</v>
      </c>
      <c r="R231">
        <v>25</v>
      </c>
      <c r="S231">
        <v>853</v>
      </c>
      <c r="T231">
        <v>62</v>
      </c>
      <c r="U231">
        <v>7.3381160031884516</v>
      </c>
      <c r="V231">
        <v>11.111111111111111</v>
      </c>
    </row>
    <row r="232" spans="1:22" x14ac:dyDescent="0.3">
      <c r="A232">
        <v>231</v>
      </c>
      <c r="B232" t="s">
        <v>121</v>
      </c>
      <c r="C232" t="s">
        <v>95</v>
      </c>
      <c r="D232">
        <v>38156397</v>
      </c>
      <c r="E232" t="s">
        <v>96</v>
      </c>
      <c r="F232">
        <v>12</v>
      </c>
      <c r="G232">
        <v>2</v>
      </c>
      <c r="H232">
        <v>3</v>
      </c>
      <c r="I232">
        <v>3</v>
      </c>
      <c r="J232">
        <v>2</v>
      </c>
      <c r="K232">
        <v>4</v>
      </c>
      <c r="L232">
        <v>0</v>
      </c>
      <c r="M232">
        <v>1</v>
      </c>
      <c r="N232">
        <v>17</v>
      </c>
      <c r="O232">
        <v>24.75</v>
      </c>
      <c r="P232">
        <v>23.475000000000001</v>
      </c>
      <c r="Q232">
        <v>1.274999999999999</v>
      </c>
      <c r="R232">
        <v>25</v>
      </c>
      <c r="S232">
        <v>990</v>
      </c>
      <c r="T232">
        <v>50</v>
      </c>
      <c r="U232">
        <v>5.1515151515151461</v>
      </c>
      <c r="V232">
        <v>17.647058823529409</v>
      </c>
    </row>
    <row r="233" spans="1:22" x14ac:dyDescent="0.3">
      <c r="A233">
        <v>232</v>
      </c>
      <c r="B233" t="s">
        <v>121</v>
      </c>
      <c r="C233" t="s">
        <v>97</v>
      </c>
      <c r="D233">
        <v>38156397</v>
      </c>
      <c r="E233" t="s">
        <v>96</v>
      </c>
      <c r="F233">
        <v>12</v>
      </c>
      <c r="G233">
        <v>4</v>
      </c>
      <c r="H233">
        <v>4</v>
      </c>
      <c r="I233">
        <v>3</v>
      </c>
      <c r="J233">
        <v>2</v>
      </c>
      <c r="K233">
        <v>4</v>
      </c>
      <c r="L233">
        <v>1</v>
      </c>
      <c r="M233">
        <v>0</v>
      </c>
      <c r="N233">
        <v>20</v>
      </c>
      <c r="O233">
        <v>24.75</v>
      </c>
      <c r="P233">
        <v>22.649000000000001</v>
      </c>
      <c r="Q233">
        <v>2.1009999999999991</v>
      </c>
      <c r="R233">
        <v>25</v>
      </c>
      <c r="S233">
        <v>990</v>
      </c>
      <c r="T233">
        <v>84</v>
      </c>
      <c r="U233">
        <v>8.4888888888888854</v>
      </c>
      <c r="V233">
        <v>20</v>
      </c>
    </row>
    <row r="234" spans="1:22" x14ac:dyDescent="0.3">
      <c r="A234">
        <v>233</v>
      </c>
      <c r="B234" t="s">
        <v>121</v>
      </c>
      <c r="C234" t="s">
        <v>97</v>
      </c>
      <c r="D234">
        <v>38156397</v>
      </c>
      <c r="E234" t="s">
        <v>96</v>
      </c>
      <c r="F234">
        <v>12</v>
      </c>
      <c r="G234">
        <v>4</v>
      </c>
      <c r="H234">
        <v>3</v>
      </c>
      <c r="I234">
        <v>3</v>
      </c>
      <c r="J234">
        <v>2</v>
      </c>
      <c r="K234">
        <v>4</v>
      </c>
      <c r="L234">
        <v>0</v>
      </c>
      <c r="M234">
        <v>1</v>
      </c>
      <c r="N234">
        <v>19</v>
      </c>
      <c r="O234">
        <v>24.75</v>
      </c>
      <c r="P234">
        <v>22.373999999999999</v>
      </c>
      <c r="Q234">
        <v>2.3760000000000008</v>
      </c>
      <c r="R234">
        <v>60</v>
      </c>
      <c r="S234">
        <v>412</v>
      </c>
      <c r="T234">
        <v>39</v>
      </c>
      <c r="U234">
        <v>9.600000000000005</v>
      </c>
      <c r="V234">
        <v>15.789473684210529</v>
      </c>
    </row>
    <row r="235" spans="1:22" x14ac:dyDescent="0.3">
      <c r="A235">
        <v>234</v>
      </c>
      <c r="B235" t="s">
        <v>121</v>
      </c>
      <c r="C235" t="s">
        <v>129</v>
      </c>
      <c r="D235">
        <v>38156397</v>
      </c>
      <c r="E235" t="s">
        <v>96</v>
      </c>
      <c r="F235">
        <v>12</v>
      </c>
      <c r="G235">
        <v>2</v>
      </c>
      <c r="H235">
        <v>4</v>
      </c>
      <c r="I235">
        <v>4</v>
      </c>
      <c r="J235">
        <v>3</v>
      </c>
      <c r="K235">
        <v>5</v>
      </c>
      <c r="L235">
        <v>0</v>
      </c>
      <c r="M235">
        <v>1</v>
      </c>
      <c r="N235">
        <v>18</v>
      </c>
      <c r="O235">
        <v>24.75</v>
      </c>
      <c r="P235">
        <v>21.940999999999999</v>
      </c>
      <c r="Q235">
        <v>2.8090000000000011</v>
      </c>
      <c r="R235">
        <v>60</v>
      </c>
      <c r="S235">
        <v>412</v>
      </c>
      <c r="T235">
        <v>46</v>
      </c>
      <c r="U235">
        <v>11.34949494949495</v>
      </c>
      <c r="V235">
        <v>22.222222222222221</v>
      </c>
    </row>
    <row r="236" spans="1:22" x14ac:dyDescent="0.3">
      <c r="A236">
        <v>235</v>
      </c>
      <c r="B236" t="s">
        <v>121</v>
      </c>
      <c r="C236" t="s">
        <v>129</v>
      </c>
      <c r="D236">
        <v>38156397</v>
      </c>
      <c r="E236" t="s">
        <v>96</v>
      </c>
      <c r="F236">
        <v>12</v>
      </c>
      <c r="G236">
        <v>2</v>
      </c>
      <c r="H236">
        <v>5</v>
      </c>
      <c r="I236">
        <v>4</v>
      </c>
      <c r="J236">
        <v>3</v>
      </c>
      <c r="K236">
        <v>5</v>
      </c>
      <c r="L236">
        <v>1</v>
      </c>
      <c r="M236">
        <v>0</v>
      </c>
      <c r="N236">
        <v>19</v>
      </c>
      <c r="O236">
        <v>24.75</v>
      </c>
      <c r="P236">
        <v>23.082000000000001</v>
      </c>
      <c r="Q236">
        <v>1.667999999999999</v>
      </c>
      <c r="R236">
        <v>60</v>
      </c>
      <c r="S236">
        <v>412</v>
      </c>
      <c r="T236">
        <v>27</v>
      </c>
      <c r="U236">
        <v>6.7393939393939366</v>
      </c>
      <c r="V236">
        <v>26.315789473684209</v>
      </c>
    </row>
    <row r="237" spans="1:22" x14ac:dyDescent="0.3">
      <c r="A237">
        <v>236</v>
      </c>
      <c r="B237" t="s">
        <v>121</v>
      </c>
      <c r="C237" t="s">
        <v>129</v>
      </c>
      <c r="D237">
        <v>38156397</v>
      </c>
      <c r="E237" t="s">
        <v>96</v>
      </c>
      <c r="F237">
        <v>12</v>
      </c>
      <c r="G237">
        <v>2</v>
      </c>
      <c r="H237">
        <v>4</v>
      </c>
      <c r="I237">
        <v>4</v>
      </c>
      <c r="J237">
        <v>3</v>
      </c>
      <c r="K237">
        <v>5</v>
      </c>
      <c r="L237">
        <v>0</v>
      </c>
      <c r="M237">
        <v>1</v>
      </c>
      <c r="N237">
        <v>18</v>
      </c>
      <c r="O237">
        <v>24.75</v>
      </c>
      <c r="P237">
        <v>22.817</v>
      </c>
      <c r="Q237">
        <v>1.9330000000000001</v>
      </c>
      <c r="R237">
        <v>60</v>
      </c>
      <c r="S237">
        <v>412</v>
      </c>
      <c r="T237">
        <v>32</v>
      </c>
      <c r="U237">
        <v>7.8101010101010084</v>
      </c>
      <c r="V237">
        <v>22.222222222222221</v>
      </c>
    </row>
    <row r="238" spans="1:22" x14ac:dyDescent="0.3">
      <c r="A238">
        <v>237</v>
      </c>
      <c r="B238" t="s">
        <v>121</v>
      </c>
      <c r="C238" t="s">
        <v>129</v>
      </c>
      <c r="D238">
        <v>38156822</v>
      </c>
      <c r="E238" t="s">
        <v>107</v>
      </c>
      <c r="F238">
        <v>3</v>
      </c>
      <c r="G238">
        <v>5</v>
      </c>
      <c r="H238">
        <v>4</v>
      </c>
      <c r="I238">
        <v>4</v>
      </c>
      <c r="J238">
        <v>3</v>
      </c>
      <c r="K238">
        <v>5</v>
      </c>
      <c r="L238">
        <v>0</v>
      </c>
      <c r="M238">
        <v>1</v>
      </c>
      <c r="N238">
        <v>12</v>
      </c>
      <c r="O238">
        <v>22.956</v>
      </c>
      <c r="P238">
        <v>21.629000000000001</v>
      </c>
      <c r="Q238">
        <v>1.326999999999998</v>
      </c>
      <c r="R238">
        <v>60</v>
      </c>
      <c r="S238">
        <v>382</v>
      </c>
      <c r="T238">
        <v>22</v>
      </c>
      <c r="U238">
        <v>5.7806238020560992</v>
      </c>
      <c r="V238">
        <v>33.333333333333329</v>
      </c>
    </row>
    <row r="239" spans="1:22" x14ac:dyDescent="0.3">
      <c r="A239">
        <v>238</v>
      </c>
      <c r="B239" t="s">
        <v>121</v>
      </c>
      <c r="C239" t="s">
        <v>129</v>
      </c>
      <c r="D239">
        <v>38156822</v>
      </c>
      <c r="E239" t="s">
        <v>107</v>
      </c>
      <c r="F239">
        <v>3</v>
      </c>
      <c r="G239">
        <v>5</v>
      </c>
      <c r="H239">
        <v>4</v>
      </c>
      <c r="I239">
        <v>4</v>
      </c>
      <c r="J239">
        <v>3</v>
      </c>
      <c r="K239">
        <v>5</v>
      </c>
      <c r="L239">
        <v>0</v>
      </c>
      <c r="M239">
        <v>1</v>
      </c>
      <c r="N239">
        <v>12</v>
      </c>
      <c r="O239">
        <v>24.75</v>
      </c>
      <c r="P239">
        <v>23.27</v>
      </c>
      <c r="Q239">
        <v>1.48</v>
      </c>
      <c r="R239">
        <v>60</v>
      </c>
      <c r="S239">
        <v>412</v>
      </c>
      <c r="T239">
        <v>24</v>
      </c>
      <c r="U239">
        <v>5.9797979797979819</v>
      </c>
      <c r="V239">
        <v>33.333333333333329</v>
      </c>
    </row>
    <row r="240" spans="1:22" x14ac:dyDescent="0.3">
      <c r="A240">
        <v>239</v>
      </c>
      <c r="B240" t="s">
        <v>121</v>
      </c>
      <c r="C240" t="s">
        <v>95</v>
      </c>
      <c r="D240">
        <v>38156822</v>
      </c>
      <c r="E240" t="s">
        <v>107</v>
      </c>
      <c r="F240">
        <v>3</v>
      </c>
      <c r="G240">
        <v>4</v>
      </c>
      <c r="H240">
        <v>3</v>
      </c>
      <c r="I240">
        <v>3</v>
      </c>
      <c r="J240">
        <v>2</v>
      </c>
      <c r="K240">
        <v>4</v>
      </c>
      <c r="L240">
        <v>0</v>
      </c>
      <c r="M240">
        <v>1</v>
      </c>
      <c r="N240">
        <v>10</v>
      </c>
      <c r="O240">
        <v>20.58</v>
      </c>
      <c r="P240">
        <v>19.358000000000001</v>
      </c>
      <c r="Q240">
        <v>1.221999999999998</v>
      </c>
      <c r="R240">
        <v>60</v>
      </c>
      <c r="S240">
        <v>343</v>
      </c>
      <c r="T240">
        <v>20</v>
      </c>
      <c r="U240">
        <v>5.9378036929057236</v>
      </c>
      <c r="V240">
        <v>30</v>
      </c>
    </row>
    <row r="241" spans="1:22" x14ac:dyDescent="0.3">
      <c r="A241">
        <v>240</v>
      </c>
      <c r="B241" t="s">
        <v>121</v>
      </c>
      <c r="C241" t="s">
        <v>95</v>
      </c>
      <c r="D241">
        <v>38156822</v>
      </c>
      <c r="E241" t="s">
        <v>107</v>
      </c>
      <c r="F241">
        <v>3</v>
      </c>
      <c r="G241">
        <v>4</v>
      </c>
      <c r="H241">
        <v>4</v>
      </c>
      <c r="I241">
        <v>3</v>
      </c>
      <c r="J241">
        <v>2</v>
      </c>
      <c r="K241">
        <v>4</v>
      </c>
      <c r="L241">
        <v>1</v>
      </c>
      <c r="M241">
        <v>0</v>
      </c>
      <c r="N241">
        <v>11</v>
      </c>
      <c r="O241">
        <v>24.75</v>
      </c>
      <c r="P241">
        <v>23.297000000000001</v>
      </c>
      <c r="Q241">
        <v>1.452999999999999</v>
      </c>
      <c r="R241">
        <v>60</v>
      </c>
      <c r="S241">
        <v>412</v>
      </c>
      <c r="T241">
        <v>24</v>
      </c>
      <c r="U241">
        <v>5.8707070707070681</v>
      </c>
      <c r="V241">
        <v>36.363636363636367</v>
      </c>
    </row>
    <row r="242" spans="1:22" x14ac:dyDescent="0.3">
      <c r="A242">
        <v>241</v>
      </c>
      <c r="B242" t="s">
        <v>121</v>
      </c>
      <c r="C242" t="s">
        <v>95</v>
      </c>
      <c r="D242">
        <v>38156822</v>
      </c>
      <c r="E242" t="s">
        <v>107</v>
      </c>
      <c r="F242">
        <v>3</v>
      </c>
      <c r="G242">
        <v>4</v>
      </c>
      <c r="H242">
        <v>3</v>
      </c>
      <c r="I242">
        <v>3</v>
      </c>
      <c r="J242">
        <v>2</v>
      </c>
      <c r="K242">
        <v>4</v>
      </c>
      <c r="L242">
        <v>0</v>
      </c>
      <c r="M242">
        <v>1</v>
      </c>
      <c r="N242">
        <v>10</v>
      </c>
      <c r="O242">
        <v>24.75</v>
      </c>
      <c r="P242">
        <v>23.28</v>
      </c>
      <c r="Q242">
        <v>1.4699999999999991</v>
      </c>
      <c r="R242">
        <v>20</v>
      </c>
      <c r="S242">
        <v>1237</v>
      </c>
      <c r="T242">
        <v>73</v>
      </c>
      <c r="U242">
        <v>5.939393939393935</v>
      </c>
      <c r="V242">
        <v>30</v>
      </c>
    </row>
    <row r="243" spans="1:22" x14ac:dyDescent="0.3">
      <c r="A243">
        <v>242</v>
      </c>
      <c r="B243" t="s">
        <v>121</v>
      </c>
      <c r="C243" t="s">
        <v>97</v>
      </c>
      <c r="D243">
        <v>38156822</v>
      </c>
      <c r="E243" t="s">
        <v>107</v>
      </c>
      <c r="F243">
        <v>3</v>
      </c>
      <c r="G243">
        <v>1</v>
      </c>
      <c r="H243">
        <v>2</v>
      </c>
      <c r="I243">
        <v>3</v>
      </c>
      <c r="J243">
        <v>2</v>
      </c>
      <c r="K243">
        <v>4</v>
      </c>
      <c r="L243">
        <v>-1</v>
      </c>
      <c r="M243">
        <v>1</v>
      </c>
      <c r="N243">
        <v>6</v>
      </c>
      <c r="O243">
        <v>24.75</v>
      </c>
      <c r="P243">
        <v>23.413</v>
      </c>
      <c r="Q243">
        <v>1.337</v>
      </c>
      <c r="R243">
        <v>20</v>
      </c>
      <c r="S243">
        <v>1237</v>
      </c>
      <c r="T243">
        <v>66</v>
      </c>
      <c r="U243">
        <v>5.4020202020202008</v>
      </c>
      <c r="V243">
        <v>33.333333333333329</v>
      </c>
    </row>
    <row r="244" spans="1:22" x14ac:dyDescent="0.3">
      <c r="A244">
        <v>243</v>
      </c>
      <c r="B244" t="s">
        <v>121</v>
      </c>
      <c r="C244" t="s">
        <v>129</v>
      </c>
      <c r="D244">
        <v>38156822</v>
      </c>
      <c r="E244" t="s">
        <v>107</v>
      </c>
      <c r="F244">
        <v>3</v>
      </c>
      <c r="G244">
        <v>5</v>
      </c>
      <c r="H244">
        <v>4</v>
      </c>
      <c r="I244">
        <v>4</v>
      </c>
      <c r="J244">
        <v>3</v>
      </c>
      <c r="K244">
        <v>5</v>
      </c>
      <c r="L244">
        <v>0</v>
      </c>
      <c r="M244">
        <v>1</v>
      </c>
      <c r="N244">
        <v>12</v>
      </c>
      <c r="O244">
        <v>24.75</v>
      </c>
      <c r="P244">
        <v>22.669</v>
      </c>
      <c r="Q244">
        <v>2.081</v>
      </c>
      <c r="R244">
        <v>20</v>
      </c>
      <c r="S244">
        <v>1237</v>
      </c>
      <c r="T244">
        <v>104</v>
      </c>
      <c r="U244">
        <v>8.4080808080808058</v>
      </c>
      <c r="V244">
        <v>33.333333333333329</v>
      </c>
    </row>
    <row r="245" spans="1:22" x14ac:dyDescent="0.3">
      <c r="A245">
        <v>244</v>
      </c>
      <c r="B245" t="s">
        <v>121</v>
      </c>
      <c r="C245" t="s">
        <v>97</v>
      </c>
      <c r="D245">
        <v>38156822</v>
      </c>
      <c r="E245" t="s">
        <v>107</v>
      </c>
      <c r="F245">
        <v>3</v>
      </c>
      <c r="G245">
        <v>1</v>
      </c>
      <c r="H245">
        <v>2</v>
      </c>
      <c r="I245">
        <v>3</v>
      </c>
      <c r="J245">
        <v>2</v>
      </c>
      <c r="K245">
        <v>4</v>
      </c>
      <c r="L245">
        <v>-1</v>
      </c>
      <c r="M245">
        <v>1</v>
      </c>
      <c r="N245">
        <v>6</v>
      </c>
      <c r="O245">
        <v>24.75</v>
      </c>
      <c r="P245">
        <v>23.393999999999998</v>
      </c>
      <c r="Q245">
        <v>1.3560000000000021</v>
      </c>
      <c r="R245">
        <v>20</v>
      </c>
      <c r="S245">
        <v>1237</v>
      </c>
      <c r="T245">
        <v>67</v>
      </c>
      <c r="U245">
        <v>5.4787878787878856</v>
      </c>
      <c r="V245">
        <v>33.333333333333329</v>
      </c>
    </row>
    <row r="246" spans="1:22" x14ac:dyDescent="0.3">
      <c r="A246">
        <v>245</v>
      </c>
      <c r="B246" t="s">
        <v>121</v>
      </c>
      <c r="C246" t="s">
        <v>97</v>
      </c>
      <c r="D246">
        <v>38156822</v>
      </c>
      <c r="E246" t="s">
        <v>107</v>
      </c>
      <c r="F246">
        <v>3</v>
      </c>
      <c r="G246">
        <v>1</v>
      </c>
      <c r="H246">
        <v>4</v>
      </c>
      <c r="I246">
        <v>3</v>
      </c>
      <c r="J246">
        <v>2</v>
      </c>
      <c r="K246">
        <v>4</v>
      </c>
      <c r="L246">
        <v>1</v>
      </c>
      <c r="M246">
        <v>0</v>
      </c>
      <c r="N246">
        <v>8</v>
      </c>
      <c r="O246">
        <v>20.033000000000001</v>
      </c>
      <c r="P246">
        <v>18.548999999999999</v>
      </c>
      <c r="Q246">
        <v>1.484000000000002</v>
      </c>
      <c r="R246">
        <v>20</v>
      </c>
      <c r="S246">
        <v>1001</v>
      </c>
      <c r="T246">
        <v>74</v>
      </c>
      <c r="U246">
        <v>7.4077771676733466</v>
      </c>
      <c r="V246">
        <v>50</v>
      </c>
    </row>
    <row r="247" spans="1:22" x14ac:dyDescent="0.3">
      <c r="A247">
        <v>246</v>
      </c>
      <c r="B247" t="s">
        <v>121</v>
      </c>
      <c r="C247" t="s">
        <v>129</v>
      </c>
      <c r="D247">
        <v>38156822</v>
      </c>
      <c r="E247" t="s">
        <v>107</v>
      </c>
      <c r="F247">
        <v>3</v>
      </c>
      <c r="G247">
        <v>5</v>
      </c>
      <c r="H247">
        <v>3</v>
      </c>
      <c r="I247">
        <v>4</v>
      </c>
      <c r="J247">
        <v>3</v>
      </c>
      <c r="K247">
        <v>5</v>
      </c>
      <c r="L247">
        <v>-1</v>
      </c>
      <c r="M247">
        <v>1</v>
      </c>
      <c r="N247">
        <v>11</v>
      </c>
      <c r="O247">
        <v>20.021000000000001</v>
      </c>
      <c r="P247">
        <v>17.422000000000001</v>
      </c>
      <c r="Q247">
        <v>2.5990000000000002</v>
      </c>
      <c r="R247">
        <v>20</v>
      </c>
      <c r="S247">
        <v>1001</v>
      </c>
      <c r="T247">
        <v>129</v>
      </c>
      <c r="U247">
        <v>12.981369561959941</v>
      </c>
      <c r="V247">
        <v>27.27272727272727</v>
      </c>
    </row>
    <row r="248" spans="1:22" x14ac:dyDescent="0.3">
      <c r="A248">
        <v>247</v>
      </c>
      <c r="B248" t="s">
        <v>121</v>
      </c>
      <c r="C248" t="s">
        <v>129</v>
      </c>
      <c r="D248">
        <v>38156822</v>
      </c>
      <c r="E248" t="s">
        <v>107</v>
      </c>
      <c r="F248">
        <v>3</v>
      </c>
      <c r="G248">
        <v>5</v>
      </c>
      <c r="H248">
        <v>3</v>
      </c>
      <c r="I248">
        <v>4</v>
      </c>
      <c r="J248">
        <v>3</v>
      </c>
      <c r="K248">
        <v>5</v>
      </c>
      <c r="L248">
        <v>-1</v>
      </c>
      <c r="M248">
        <v>1</v>
      </c>
      <c r="N248">
        <v>11</v>
      </c>
      <c r="O248">
        <v>21.120999999999999</v>
      </c>
      <c r="P248">
        <v>18.768000000000001</v>
      </c>
      <c r="Q248">
        <v>2.352999999999998</v>
      </c>
      <c r="R248">
        <v>20</v>
      </c>
      <c r="S248">
        <v>1056</v>
      </c>
      <c r="T248">
        <v>117</v>
      </c>
      <c r="U248">
        <v>11.14057099569148</v>
      </c>
      <c r="V248">
        <v>27.27272727272727</v>
      </c>
    </row>
    <row r="249" spans="1:22" x14ac:dyDescent="0.3">
      <c r="A249">
        <v>248</v>
      </c>
      <c r="B249" t="s">
        <v>121</v>
      </c>
      <c r="C249" t="s">
        <v>97</v>
      </c>
      <c r="D249">
        <v>38157185</v>
      </c>
      <c r="E249" t="s">
        <v>96</v>
      </c>
      <c r="F249">
        <v>7</v>
      </c>
      <c r="G249">
        <v>1</v>
      </c>
      <c r="H249">
        <v>3</v>
      </c>
      <c r="I249">
        <v>3</v>
      </c>
      <c r="J249">
        <v>2</v>
      </c>
      <c r="K249">
        <v>4</v>
      </c>
      <c r="L249">
        <v>0</v>
      </c>
      <c r="M249">
        <v>1</v>
      </c>
      <c r="N249">
        <v>11</v>
      </c>
      <c r="O249">
        <v>24.75</v>
      </c>
      <c r="P249">
        <v>22.933</v>
      </c>
      <c r="Q249">
        <v>1.8169999999999999</v>
      </c>
      <c r="R249">
        <v>20</v>
      </c>
      <c r="S249">
        <v>1237</v>
      </c>
      <c r="T249">
        <v>90</v>
      </c>
      <c r="U249">
        <v>7.3414141414141421</v>
      </c>
      <c r="V249">
        <v>27.27272727272727</v>
      </c>
    </row>
    <row r="250" spans="1:22" x14ac:dyDescent="0.3">
      <c r="A250">
        <v>249</v>
      </c>
      <c r="B250" t="s">
        <v>121</v>
      </c>
      <c r="C250" t="s">
        <v>97</v>
      </c>
      <c r="D250">
        <v>38157185</v>
      </c>
      <c r="E250" t="s">
        <v>96</v>
      </c>
      <c r="F250">
        <v>7</v>
      </c>
      <c r="G250">
        <v>2</v>
      </c>
      <c r="H250">
        <v>3</v>
      </c>
      <c r="I250">
        <v>3</v>
      </c>
      <c r="J250">
        <v>2</v>
      </c>
      <c r="K250">
        <v>4</v>
      </c>
      <c r="L250">
        <v>0</v>
      </c>
      <c r="M250">
        <v>1</v>
      </c>
      <c r="N250">
        <v>12</v>
      </c>
      <c r="O250">
        <v>24.75</v>
      </c>
      <c r="P250">
        <v>22.218</v>
      </c>
      <c r="Q250">
        <v>2.532</v>
      </c>
      <c r="R250">
        <v>20</v>
      </c>
      <c r="S250">
        <v>1237</v>
      </c>
      <c r="T250">
        <v>126</v>
      </c>
      <c r="U250">
        <v>10.23030303030303</v>
      </c>
      <c r="V250">
        <v>25</v>
      </c>
    </row>
    <row r="251" spans="1:22" x14ac:dyDescent="0.3">
      <c r="A251">
        <v>250</v>
      </c>
      <c r="B251" t="s">
        <v>121</v>
      </c>
      <c r="C251" t="s">
        <v>97</v>
      </c>
      <c r="D251">
        <v>38157185</v>
      </c>
      <c r="E251" t="s">
        <v>96</v>
      </c>
      <c r="F251">
        <v>7</v>
      </c>
      <c r="G251">
        <v>3</v>
      </c>
      <c r="H251">
        <v>4</v>
      </c>
      <c r="I251">
        <v>3</v>
      </c>
      <c r="J251">
        <v>2</v>
      </c>
      <c r="K251">
        <v>4</v>
      </c>
      <c r="L251">
        <v>1</v>
      </c>
      <c r="M251">
        <v>0</v>
      </c>
      <c r="N251">
        <v>14</v>
      </c>
      <c r="O251">
        <v>24.75</v>
      </c>
      <c r="P251">
        <v>22.579000000000001</v>
      </c>
      <c r="Q251">
        <v>2.1709999999999989</v>
      </c>
      <c r="R251">
        <v>20</v>
      </c>
      <c r="S251">
        <v>1237</v>
      </c>
      <c r="T251">
        <v>108</v>
      </c>
      <c r="U251">
        <v>8.7717171717171691</v>
      </c>
      <c r="V251">
        <v>28.571428571428569</v>
      </c>
    </row>
    <row r="252" spans="1:22" x14ac:dyDescent="0.3">
      <c r="A252">
        <v>251</v>
      </c>
      <c r="B252" t="s">
        <v>121</v>
      </c>
      <c r="C252" t="s">
        <v>97</v>
      </c>
      <c r="D252">
        <v>38157185</v>
      </c>
      <c r="E252" t="s">
        <v>96</v>
      </c>
      <c r="F252">
        <v>7</v>
      </c>
      <c r="G252">
        <v>3</v>
      </c>
      <c r="H252">
        <v>5</v>
      </c>
      <c r="I252">
        <v>3</v>
      </c>
      <c r="J252">
        <v>2</v>
      </c>
      <c r="K252">
        <v>4</v>
      </c>
      <c r="L252">
        <v>2</v>
      </c>
      <c r="M252">
        <v>0</v>
      </c>
      <c r="N252">
        <v>15</v>
      </c>
      <c r="O252">
        <v>24.75</v>
      </c>
      <c r="P252">
        <v>23.172999999999998</v>
      </c>
      <c r="Q252">
        <v>1.577000000000002</v>
      </c>
      <c r="R252">
        <v>20</v>
      </c>
      <c r="S252">
        <v>1237</v>
      </c>
      <c r="T252">
        <v>78</v>
      </c>
      <c r="U252">
        <v>6.3717171717171794</v>
      </c>
      <c r="V252">
        <v>33.333333333333329</v>
      </c>
    </row>
    <row r="253" spans="1:22" x14ac:dyDescent="0.3">
      <c r="A253">
        <v>252</v>
      </c>
      <c r="B253" t="s">
        <v>121</v>
      </c>
      <c r="C253" t="s">
        <v>97</v>
      </c>
      <c r="D253">
        <v>38157185</v>
      </c>
      <c r="E253" t="s">
        <v>96</v>
      </c>
      <c r="F253">
        <v>7</v>
      </c>
      <c r="G253">
        <v>3</v>
      </c>
      <c r="H253">
        <v>4</v>
      </c>
      <c r="I253">
        <v>3</v>
      </c>
      <c r="J253">
        <v>2</v>
      </c>
      <c r="K253">
        <v>4</v>
      </c>
      <c r="L253">
        <v>1</v>
      </c>
      <c r="M253">
        <v>0</v>
      </c>
      <c r="N253">
        <v>14</v>
      </c>
      <c r="O253">
        <v>24.75</v>
      </c>
      <c r="P253">
        <v>22.998000000000001</v>
      </c>
      <c r="Q253">
        <v>1.7519999999999989</v>
      </c>
      <c r="R253">
        <v>60</v>
      </c>
      <c r="S253">
        <v>412</v>
      </c>
      <c r="T253">
        <v>29</v>
      </c>
      <c r="U253">
        <v>7.0787878787878746</v>
      </c>
      <c r="V253">
        <v>28.571428571428569</v>
      </c>
    </row>
    <row r="254" spans="1:22" x14ac:dyDescent="0.3">
      <c r="A254">
        <v>253</v>
      </c>
      <c r="B254" t="s">
        <v>94</v>
      </c>
      <c r="C254" t="s">
        <v>97</v>
      </c>
      <c r="D254">
        <v>38176398</v>
      </c>
      <c r="E254" t="s">
        <v>130</v>
      </c>
      <c r="F254">
        <v>16</v>
      </c>
      <c r="G254">
        <v>2</v>
      </c>
      <c r="H254">
        <v>2</v>
      </c>
      <c r="I254">
        <v>3</v>
      </c>
      <c r="J254">
        <v>2</v>
      </c>
      <c r="K254">
        <v>5</v>
      </c>
      <c r="L254">
        <v>-1</v>
      </c>
      <c r="M254">
        <v>1</v>
      </c>
      <c r="N254">
        <v>20</v>
      </c>
      <c r="O254">
        <v>24.75</v>
      </c>
      <c r="P254">
        <v>23.376000000000001</v>
      </c>
      <c r="Q254">
        <v>1.373999999999999</v>
      </c>
      <c r="R254">
        <v>60</v>
      </c>
      <c r="S254">
        <v>412</v>
      </c>
      <c r="T254">
        <v>22</v>
      </c>
      <c r="U254">
        <v>5.5515151515151473</v>
      </c>
      <c r="V254">
        <v>10</v>
      </c>
    </row>
    <row r="255" spans="1:22" x14ac:dyDescent="0.3">
      <c r="A255">
        <v>254</v>
      </c>
      <c r="B255" t="s">
        <v>94</v>
      </c>
      <c r="C255" t="s">
        <v>97</v>
      </c>
      <c r="D255">
        <v>38176398</v>
      </c>
      <c r="E255" t="s">
        <v>130</v>
      </c>
      <c r="F255">
        <v>16</v>
      </c>
      <c r="G255">
        <v>2</v>
      </c>
      <c r="H255">
        <v>2</v>
      </c>
      <c r="I255">
        <v>3</v>
      </c>
      <c r="J255">
        <v>2</v>
      </c>
      <c r="K255">
        <v>5</v>
      </c>
      <c r="L255">
        <v>-1</v>
      </c>
      <c r="M255">
        <v>1</v>
      </c>
      <c r="N255">
        <v>20</v>
      </c>
      <c r="O255">
        <v>24.75</v>
      </c>
      <c r="P255">
        <v>22.626000000000001</v>
      </c>
      <c r="Q255">
        <v>2.1239999999999992</v>
      </c>
      <c r="R255">
        <v>60</v>
      </c>
      <c r="S255">
        <v>412</v>
      </c>
      <c r="T255">
        <v>35</v>
      </c>
      <c r="U255">
        <v>8.5818181818181767</v>
      </c>
      <c r="V255">
        <v>10</v>
      </c>
    </row>
    <row r="256" spans="1:22" x14ac:dyDescent="0.3">
      <c r="A256">
        <v>255</v>
      </c>
      <c r="B256" t="s">
        <v>94</v>
      </c>
      <c r="C256" t="s">
        <v>97</v>
      </c>
      <c r="D256">
        <v>38176398</v>
      </c>
      <c r="E256" t="s">
        <v>130</v>
      </c>
      <c r="F256">
        <v>16</v>
      </c>
      <c r="G256">
        <v>3</v>
      </c>
      <c r="H256">
        <v>4</v>
      </c>
      <c r="I256">
        <v>3</v>
      </c>
      <c r="J256">
        <v>2</v>
      </c>
      <c r="K256">
        <v>5</v>
      </c>
      <c r="L256">
        <v>1</v>
      </c>
      <c r="M256">
        <v>0</v>
      </c>
      <c r="N256">
        <v>23</v>
      </c>
      <c r="O256">
        <v>19.989000000000001</v>
      </c>
      <c r="P256">
        <v>18.942</v>
      </c>
      <c r="Q256">
        <v>1.047000000000001</v>
      </c>
      <c r="R256">
        <v>60</v>
      </c>
      <c r="S256">
        <v>333</v>
      </c>
      <c r="T256">
        <v>17</v>
      </c>
      <c r="U256">
        <v>5.2378808344589549</v>
      </c>
      <c r="V256">
        <v>17.39130434782609</v>
      </c>
    </row>
    <row r="257" spans="1:22" x14ac:dyDescent="0.3">
      <c r="A257">
        <v>256</v>
      </c>
      <c r="B257" t="s">
        <v>94</v>
      </c>
      <c r="C257" t="s">
        <v>97</v>
      </c>
      <c r="D257">
        <v>38176398</v>
      </c>
      <c r="E257" t="s">
        <v>130</v>
      </c>
      <c r="F257">
        <v>16</v>
      </c>
      <c r="G257">
        <v>3</v>
      </c>
      <c r="H257">
        <v>2</v>
      </c>
      <c r="I257">
        <v>3</v>
      </c>
      <c r="J257">
        <v>2</v>
      </c>
      <c r="K257">
        <v>5</v>
      </c>
      <c r="L257">
        <v>-1</v>
      </c>
      <c r="M257">
        <v>1</v>
      </c>
      <c r="N257">
        <v>21</v>
      </c>
      <c r="O257">
        <v>24.75</v>
      </c>
      <c r="P257">
        <v>22.818999999999999</v>
      </c>
      <c r="Q257">
        <v>1.9310000000000009</v>
      </c>
      <c r="R257">
        <v>60</v>
      </c>
      <c r="S257">
        <v>412</v>
      </c>
      <c r="T257">
        <v>32</v>
      </c>
      <c r="U257">
        <v>7.8020202020202056</v>
      </c>
      <c r="V257">
        <v>9.5238095238095237</v>
      </c>
    </row>
    <row r="258" spans="1:22" x14ac:dyDescent="0.3">
      <c r="A258">
        <v>257</v>
      </c>
      <c r="B258" t="s">
        <v>126</v>
      </c>
      <c r="C258" t="s">
        <v>122</v>
      </c>
      <c r="D258">
        <v>38181441</v>
      </c>
      <c r="E258" t="s">
        <v>128</v>
      </c>
      <c r="F258">
        <v>5</v>
      </c>
      <c r="G258">
        <v>2</v>
      </c>
      <c r="H258">
        <v>5</v>
      </c>
      <c r="I258">
        <v>2</v>
      </c>
      <c r="J258">
        <v>2</v>
      </c>
      <c r="K258">
        <v>4</v>
      </c>
      <c r="L258">
        <v>3</v>
      </c>
      <c r="M258">
        <v>0</v>
      </c>
      <c r="N258">
        <v>12</v>
      </c>
      <c r="O258">
        <v>24.75</v>
      </c>
      <c r="P258">
        <v>22.524999999999999</v>
      </c>
      <c r="Q258">
        <v>2.225000000000001</v>
      </c>
      <c r="R258">
        <v>1200</v>
      </c>
      <c r="S258">
        <v>20</v>
      </c>
      <c r="T258">
        <v>1</v>
      </c>
      <c r="U258">
        <v>8.9898989898989949</v>
      </c>
      <c r="V258">
        <v>41.666666666666671</v>
      </c>
    </row>
    <row r="259" spans="1:22" x14ac:dyDescent="0.3">
      <c r="A259">
        <v>258</v>
      </c>
      <c r="B259" t="s">
        <v>126</v>
      </c>
      <c r="C259" t="s">
        <v>122</v>
      </c>
      <c r="D259">
        <v>38181441</v>
      </c>
      <c r="E259" t="s">
        <v>128</v>
      </c>
      <c r="F259">
        <v>5</v>
      </c>
      <c r="G259">
        <v>2</v>
      </c>
      <c r="H259">
        <v>4</v>
      </c>
      <c r="I259">
        <v>2</v>
      </c>
      <c r="J259">
        <v>2</v>
      </c>
      <c r="K259">
        <v>4</v>
      </c>
      <c r="L259">
        <v>2</v>
      </c>
      <c r="M259">
        <v>0</v>
      </c>
      <c r="N259">
        <v>11</v>
      </c>
      <c r="O259">
        <v>24.75</v>
      </c>
      <c r="P259">
        <v>23.399000000000001</v>
      </c>
      <c r="Q259">
        <v>1.3509999999999991</v>
      </c>
      <c r="R259">
        <v>1200</v>
      </c>
      <c r="S259">
        <v>20</v>
      </c>
      <c r="T259">
        <v>1</v>
      </c>
      <c r="U259">
        <v>5.4585858585858551</v>
      </c>
      <c r="V259">
        <v>36.363636363636367</v>
      </c>
    </row>
    <row r="260" spans="1:22" x14ac:dyDescent="0.3">
      <c r="A260">
        <v>259</v>
      </c>
      <c r="B260" t="s">
        <v>126</v>
      </c>
      <c r="C260" t="s">
        <v>122</v>
      </c>
      <c r="D260">
        <v>38181441</v>
      </c>
      <c r="E260" t="s">
        <v>128</v>
      </c>
      <c r="F260">
        <v>5</v>
      </c>
      <c r="G260">
        <v>2</v>
      </c>
      <c r="H260">
        <v>4</v>
      </c>
      <c r="I260">
        <v>2</v>
      </c>
      <c r="J260">
        <v>2</v>
      </c>
      <c r="K260">
        <v>4</v>
      </c>
      <c r="L260">
        <v>2</v>
      </c>
      <c r="M260">
        <v>0</v>
      </c>
      <c r="N260">
        <v>11</v>
      </c>
      <c r="O260">
        <v>24.75</v>
      </c>
      <c r="P260">
        <v>22.126999999999999</v>
      </c>
      <c r="Q260">
        <v>2.6230000000000011</v>
      </c>
      <c r="R260">
        <v>1200</v>
      </c>
      <c r="S260">
        <v>20</v>
      </c>
      <c r="T260">
        <v>2</v>
      </c>
      <c r="U260">
        <v>10.5979797979798</v>
      </c>
      <c r="V260">
        <v>36.363636363636367</v>
      </c>
    </row>
    <row r="261" spans="1:22" x14ac:dyDescent="0.3">
      <c r="A261">
        <v>260</v>
      </c>
      <c r="B261" t="s">
        <v>126</v>
      </c>
      <c r="C261" t="s">
        <v>122</v>
      </c>
      <c r="D261">
        <v>38181441</v>
      </c>
      <c r="E261" t="s">
        <v>128</v>
      </c>
      <c r="F261">
        <v>5</v>
      </c>
      <c r="G261">
        <v>2</v>
      </c>
      <c r="H261">
        <v>3</v>
      </c>
      <c r="I261">
        <v>2</v>
      </c>
      <c r="J261">
        <v>2</v>
      </c>
      <c r="K261">
        <v>4</v>
      </c>
      <c r="L261">
        <v>1</v>
      </c>
      <c r="M261">
        <v>0</v>
      </c>
      <c r="N261">
        <v>10</v>
      </c>
      <c r="O261">
        <v>24.75</v>
      </c>
      <c r="P261">
        <v>22.946000000000002</v>
      </c>
      <c r="Q261">
        <v>1.803999999999998</v>
      </c>
      <c r="R261">
        <v>1200</v>
      </c>
      <c r="S261">
        <v>20</v>
      </c>
      <c r="T261">
        <v>1</v>
      </c>
      <c r="U261">
        <v>7.2888888888888834</v>
      </c>
      <c r="V261">
        <v>30</v>
      </c>
    </row>
    <row r="262" spans="1:22" x14ac:dyDescent="0.3">
      <c r="A262">
        <v>261</v>
      </c>
      <c r="B262" t="s">
        <v>94</v>
      </c>
      <c r="C262" t="s">
        <v>113</v>
      </c>
      <c r="D262">
        <v>38213226</v>
      </c>
      <c r="E262" t="s">
        <v>115</v>
      </c>
      <c r="F262">
        <v>5</v>
      </c>
      <c r="G262">
        <v>2</v>
      </c>
      <c r="H262">
        <v>3</v>
      </c>
      <c r="I262">
        <v>2</v>
      </c>
      <c r="J262">
        <v>1</v>
      </c>
      <c r="K262">
        <v>3</v>
      </c>
      <c r="L262">
        <v>1</v>
      </c>
      <c r="M262">
        <v>0</v>
      </c>
      <c r="N262">
        <v>10</v>
      </c>
      <c r="O262">
        <v>24.75</v>
      </c>
      <c r="P262">
        <v>22.166</v>
      </c>
      <c r="Q262">
        <v>2.5840000000000001</v>
      </c>
      <c r="R262">
        <v>25</v>
      </c>
      <c r="S262">
        <v>990</v>
      </c>
      <c r="T262">
        <v>103</v>
      </c>
      <c r="U262">
        <v>10.44040404040404</v>
      </c>
      <c r="V262">
        <v>30</v>
      </c>
    </row>
    <row r="263" spans="1:22" x14ac:dyDescent="0.3">
      <c r="A263">
        <v>262</v>
      </c>
      <c r="B263" t="s">
        <v>94</v>
      </c>
      <c r="C263" t="s">
        <v>113</v>
      </c>
      <c r="D263">
        <v>38213226</v>
      </c>
      <c r="E263" t="s">
        <v>115</v>
      </c>
      <c r="F263">
        <v>5</v>
      </c>
      <c r="G263">
        <v>3</v>
      </c>
      <c r="H263">
        <v>4</v>
      </c>
      <c r="I263">
        <v>2</v>
      </c>
      <c r="J263">
        <v>1</v>
      </c>
      <c r="K263">
        <v>3</v>
      </c>
      <c r="L263">
        <v>2</v>
      </c>
      <c r="M263">
        <v>0</v>
      </c>
      <c r="N263">
        <v>12</v>
      </c>
      <c r="O263">
        <v>24.75</v>
      </c>
      <c r="P263">
        <v>22.914000000000001</v>
      </c>
      <c r="Q263">
        <v>1.835999999999999</v>
      </c>
      <c r="R263">
        <v>25</v>
      </c>
      <c r="S263">
        <v>990</v>
      </c>
      <c r="T263">
        <v>73</v>
      </c>
      <c r="U263">
        <v>7.4181818181818127</v>
      </c>
      <c r="V263">
        <v>33.333333333333329</v>
      </c>
    </row>
    <row r="264" spans="1:22" x14ac:dyDescent="0.3">
      <c r="A264">
        <v>263</v>
      </c>
      <c r="B264" t="s">
        <v>94</v>
      </c>
      <c r="C264" t="s">
        <v>113</v>
      </c>
      <c r="D264">
        <v>38213226</v>
      </c>
      <c r="E264" t="s">
        <v>115</v>
      </c>
      <c r="F264">
        <v>5</v>
      </c>
      <c r="G264">
        <v>3</v>
      </c>
      <c r="H264">
        <v>2</v>
      </c>
      <c r="I264">
        <v>2</v>
      </c>
      <c r="J264">
        <v>1</v>
      </c>
      <c r="K264">
        <v>3</v>
      </c>
      <c r="L264">
        <v>0</v>
      </c>
      <c r="M264">
        <v>1</v>
      </c>
      <c r="N264">
        <v>10</v>
      </c>
      <c r="O264">
        <v>24.75</v>
      </c>
      <c r="P264">
        <v>22.792000000000002</v>
      </c>
      <c r="Q264">
        <v>1.957999999999998</v>
      </c>
      <c r="R264">
        <v>25</v>
      </c>
      <c r="S264">
        <v>990</v>
      </c>
      <c r="T264">
        <v>78</v>
      </c>
      <c r="U264">
        <v>7.9111111111111052</v>
      </c>
      <c r="V264">
        <v>20</v>
      </c>
    </row>
    <row r="265" spans="1:22" x14ac:dyDescent="0.3">
      <c r="A265">
        <v>264</v>
      </c>
      <c r="B265" t="s">
        <v>94</v>
      </c>
      <c r="C265" t="s">
        <v>97</v>
      </c>
      <c r="D265">
        <v>38213226</v>
      </c>
      <c r="E265" t="s">
        <v>115</v>
      </c>
      <c r="F265">
        <v>5</v>
      </c>
      <c r="G265">
        <v>1</v>
      </c>
      <c r="H265">
        <v>3</v>
      </c>
      <c r="I265">
        <v>3</v>
      </c>
      <c r="J265">
        <v>2</v>
      </c>
      <c r="K265">
        <v>5</v>
      </c>
      <c r="L265">
        <v>0</v>
      </c>
      <c r="M265">
        <v>1</v>
      </c>
      <c r="N265">
        <v>9</v>
      </c>
      <c r="O265">
        <v>24.75</v>
      </c>
      <c r="P265">
        <v>21.928999999999998</v>
      </c>
      <c r="Q265">
        <v>2.821000000000002</v>
      </c>
      <c r="R265">
        <v>25</v>
      </c>
      <c r="S265">
        <v>990</v>
      </c>
      <c r="T265">
        <v>112</v>
      </c>
      <c r="U265">
        <v>11.397979797979801</v>
      </c>
      <c r="V265">
        <v>33.333333333333329</v>
      </c>
    </row>
    <row r="266" spans="1:22" x14ac:dyDescent="0.3">
      <c r="A266">
        <v>265</v>
      </c>
      <c r="B266" t="s">
        <v>94</v>
      </c>
      <c r="C266" t="s">
        <v>97</v>
      </c>
      <c r="D266">
        <v>38213226</v>
      </c>
      <c r="E266" t="s">
        <v>115</v>
      </c>
      <c r="F266">
        <v>5</v>
      </c>
      <c r="G266">
        <v>1</v>
      </c>
      <c r="H266">
        <v>5</v>
      </c>
      <c r="I266">
        <v>3</v>
      </c>
      <c r="J266">
        <v>2</v>
      </c>
      <c r="K266">
        <v>5</v>
      </c>
      <c r="L266">
        <v>2</v>
      </c>
      <c r="M266">
        <v>0</v>
      </c>
      <c r="N266">
        <v>11</v>
      </c>
      <c r="O266">
        <v>24.75</v>
      </c>
      <c r="P266">
        <v>21.629000000000001</v>
      </c>
      <c r="Q266">
        <v>3.1209999999999991</v>
      </c>
      <c r="R266">
        <v>1000</v>
      </c>
      <c r="S266">
        <v>24</v>
      </c>
      <c r="T266">
        <v>3</v>
      </c>
      <c r="U266">
        <v>12.610101010100999</v>
      </c>
      <c r="V266">
        <v>45.454545454545453</v>
      </c>
    </row>
    <row r="267" spans="1:22" x14ac:dyDescent="0.3">
      <c r="A267">
        <v>266</v>
      </c>
      <c r="B267" t="s">
        <v>94</v>
      </c>
      <c r="C267" t="s">
        <v>113</v>
      </c>
      <c r="D267">
        <v>38214668</v>
      </c>
      <c r="E267" t="s">
        <v>115</v>
      </c>
      <c r="F267">
        <v>5</v>
      </c>
      <c r="G267">
        <v>3</v>
      </c>
      <c r="H267">
        <v>2</v>
      </c>
      <c r="I267">
        <v>2</v>
      </c>
      <c r="J267">
        <v>1</v>
      </c>
      <c r="K267">
        <v>3</v>
      </c>
      <c r="L267">
        <v>0</v>
      </c>
      <c r="M267">
        <v>1</v>
      </c>
      <c r="N267">
        <v>10</v>
      </c>
      <c r="O267">
        <v>24.021000000000001</v>
      </c>
      <c r="P267">
        <v>22.116</v>
      </c>
      <c r="Q267">
        <v>1.9050000000000009</v>
      </c>
      <c r="R267">
        <v>1000</v>
      </c>
      <c r="S267">
        <v>24</v>
      </c>
      <c r="T267">
        <v>1</v>
      </c>
      <c r="U267">
        <v>7.9305607593355862</v>
      </c>
      <c r="V267">
        <v>20</v>
      </c>
    </row>
    <row r="268" spans="1:22" x14ac:dyDescent="0.3">
      <c r="A268">
        <v>267</v>
      </c>
      <c r="B268" t="s">
        <v>94</v>
      </c>
      <c r="C268" t="s">
        <v>113</v>
      </c>
      <c r="D268">
        <v>38214668</v>
      </c>
      <c r="E268" t="s">
        <v>115</v>
      </c>
      <c r="F268">
        <v>5</v>
      </c>
      <c r="G268">
        <v>4</v>
      </c>
      <c r="H268">
        <v>2</v>
      </c>
      <c r="I268">
        <v>2</v>
      </c>
      <c r="J268">
        <v>1</v>
      </c>
      <c r="K268">
        <v>3</v>
      </c>
      <c r="L268">
        <v>0</v>
      </c>
      <c r="M268">
        <v>1</v>
      </c>
      <c r="N268">
        <v>11</v>
      </c>
      <c r="O268">
        <v>20.451000000000001</v>
      </c>
      <c r="P268">
        <v>19.155999999999999</v>
      </c>
      <c r="Q268">
        <v>1.2950000000000019</v>
      </c>
      <c r="R268">
        <v>1000</v>
      </c>
      <c r="S268">
        <v>20</v>
      </c>
      <c r="T268">
        <v>1</v>
      </c>
      <c r="U268">
        <v>6.3322086939514044</v>
      </c>
      <c r="V268">
        <v>18.18181818181818</v>
      </c>
    </row>
    <row r="269" spans="1:22" x14ac:dyDescent="0.3">
      <c r="A269">
        <v>268</v>
      </c>
      <c r="B269" t="s">
        <v>94</v>
      </c>
      <c r="C269" t="s">
        <v>113</v>
      </c>
      <c r="D269">
        <v>38214668</v>
      </c>
      <c r="E269" t="s">
        <v>115</v>
      </c>
      <c r="F269">
        <v>5</v>
      </c>
      <c r="G269">
        <v>4</v>
      </c>
      <c r="H269">
        <v>2</v>
      </c>
      <c r="I269">
        <v>2</v>
      </c>
      <c r="J269">
        <v>1</v>
      </c>
      <c r="K269">
        <v>3</v>
      </c>
      <c r="L269">
        <v>0</v>
      </c>
      <c r="M269">
        <v>1</v>
      </c>
      <c r="N269">
        <v>11</v>
      </c>
      <c r="O269">
        <v>24.75</v>
      </c>
      <c r="P269">
        <v>23.404</v>
      </c>
      <c r="Q269">
        <v>1.3460000000000001</v>
      </c>
      <c r="R269">
        <v>1000</v>
      </c>
      <c r="S269">
        <v>24</v>
      </c>
      <c r="T269">
        <v>1</v>
      </c>
      <c r="U269">
        <v>5.4383838383838388</v>
      </c>
      <c r="V269">
        <v>18.18181818181818</v>
      </c>
    </row>
    <row r="270" spans="1:22" x14ac:dyDescent="0.3">
      <c r="A270">
        <v>269</v>
      </c>
      <c r="B270" t="s">
        <v>94</v>
      </c>
      <c r="C270" t="s">
        <v>113</v>
      </c>
      <c r="D270">
        <v>38214668</v>
      </c>
      <c r="E270" t="s">
        <v>115</v>
      </c>
      <c r="F270">
        <v>5</v>
      </c>
      <c r="G270">
        <v>5</v>
      </c>
      <c r="H270">
        <v>2</v>
      </c>
      <c r="I270">
        <v>2</v>
      </c>
      <c r="J270">
        <v>1</v>
      </c>
      <c r="K270">
        <v>3</v>
      </c>
      <c r="L270">
        <v>0</v>
      </c>
      <c r="M270">
        <v>1</v>
      </c>
      <c r="N270">
        <v>12</v>
      </c>
      <c r="O270">
        <v>24.75</v>
      </c>
      <c r="P270">
        <v>22.78</v>
      </c>
      <c r="Q270">
        <v>1.9699999999999991</v>
      </c>
      <c r="R270">
        <v>1000</v>
      </c>
      <c r="S270">
        <v>24</v>
      </c>
      <c r="T270">
        <v>1</v>
      </c>
      <c r="U270">
        <v>7.9595959595959549</v>
      </c>
      <c r="V270">
        <v>16.666666666666661</v>
      </c>
    </row>
    <row r="271" spans="1:22" x14ac:dyDescent="0.3">
      <c r="A271">
        <v>270</v>
      </c>
      <c r="B271" t="s">
        <v>94</v>
      </c>
      <c r="C271" t="s">
        <v>113</v>
      </c>
      <c r="D271">
        <v>38214668</v>
      </c>
      <c r="E271" t="s">
        <v>115</v>
      </c>
      <c r="F271">
        <v>5</v>
      </c>
      <c r="G271">
        <v>5</v>
      </c>
      <c r="H271">
        <v>2</v>
      </c>
      <c r="I271">
        <v>2</v>
      </c>
      <c r="J271">
        <v>1</v>
      </c>
      <c r="K271">
        <v>3</v>
      </c>
      <c r="L271">
        <v>0</v>
      </c>
      <c r="M271">
        <v>1</v>
      </c>
      <c r="N271">
        <v>12</v>
      </c>
      <c r="O271">
        <v>24.75</v>
      </c>
      <c r="P271">
        <v>23.338999999999999</v>
      </c>
      <c r="Q271">
        <v>1.4110000000000009</v>
      </c>
      <c r="R271">
        <v>1000</v>
      </c>
      <c r="S271">
        <v>24</v>
      </c>
      <c r="T271">
        <v>1</v>
      </c>
      <c r="U271">
        <v>5.7010101010101071</v>
      </c>
      <c r="V271">
        <v>16.666666666666661</v>
      </c>
    </row>
    <row r="272" spans="1:22" x14ac:dyDescent="0.3">
      <c r="A272">
        <v>271</v>
      </c>
      <c r="B272" t="s">
        <v>94</v>
      </c>
      <c r="C272" t="s">
        <v>113</v>
      </c>
      <c r="D272">
        <v>38214668</v>
      </c>
      <c r="E272" t="s">
        <v>115</v>
      </c>
      <c r="F272">
        <v>5</v>
      </c>
      <c r="G272">
        <v>5</v>
      </c>
      <c r="H272">
        <v>3</v>
      </c>
      <c r="I272">
        <v>2</v>
      </c>
      <c r="J272">
        <v>1</v>
      </c>
      <c r="K272">
        <v>3</v>
      </c>
      <c r="L272">
        <v>1</v>
      </c>
      <c r="M272">
        <v>0</v>
      </c>
      <c r="N272">
        <v>13</v>
      </c>
      <c r="O272">
        <v>24.75</v>
      </c>
      <c r="P272">
        <v>23.062000000000001</v>
      </c>
      <c r="Q272">
        <v>1.6879999999999991</v>
      </c>
      <c r="R272">
        <v>1000</v>
      </c>
      <c r="S272">
        <v>24</v>
      </c>
      <c r="T272">
        <v>1</v>
      </c>
      <c r="U272">
        <v>6.8202020202020153</v>
      </c>
      <c r="V272">
        <v>23.07692307692308</v>
      </c>
    </row>
    <row r="273" spans="1:22" x14ac:dyDescent="0.3">
      <c r="A273">
        <v>272</v>
      </c>
      <c r="B273" t="s">
        <v>94</v>
      </c>
      <c r="C273" t="s">
        <v>113</v>
      </c>
      <c r="D273">
        <v>38215272</v>
      </c>
      <c r="E273" t="s">
        <v>115</v>
      </c>
      <c r="F273">
        <v>5</v>
      </c>
      <c r="G273">
        <v>3</v>
      </c>
      <c r="H273">
        <v>4</v>
      </c>
      <c r="I273">
        <v>2</v>
      </c>
      <c r="J273">
        <v>1</v>
      </c>
      <c r="K273">
        <v>3</v>
      </c>
      <c r="L273">
        <v>2</v>
      </c>
      <c r="M273">
        <v>0</v>
      </c>
      <c r="N273">
        <v>12</v>
      </c>
      <c r="O273">
        <v>24.75</v>
      </c>
      <c r="P273">
        <v>23.297000000000001</v>
      </c>
      <c r="Q273">
        <v>1.452999999999999</v>
      </c>
      <c r="R273">
        <v>1000</v>
      </c>
      <c r="S273">
        <v>24</v>
      </c>
      <c r="T273">
        <v>1</v>
      </c>
      <c r="U273">
        <v>5.8707070707070681</v>
      </c>
      <c r="V273">
        <v>33.333333333333329</v>
      </c>
    </row>
    <row r="274" spans="1:22" x14ac:dyDescent="0.3">
      <c r="A274">
        <v>273</v>
      </c>
      <c r="B274" t="s">
        <v>94</v>
      </c>
      <c r="C274" t="s">
        <v>113</v>
      </c>
      <c r="D274">
        <v>38215272</v>
      </c>
      <c r="E274" t="s">
        <v>115</v>
      </c>
      <c r="F274">
        <v>5</v>
      </c>
      <c r="G274">
        <v>3</v>
      </c>
      <c r="H274">
        <v>3</v>
      </c>
      <c r="I274">
        <v>2</v>
      </c>
      <c r="J274">
        <v>1</v>
      </c>
      <c r="K274">
        <v>3</v>
      </c>
      <c r="L274">
        <v>1</v>
      </c>
      <c r="M274">
        <v>0</v>
      </c>
      <c r="N274">
        <v>11</v>
      </c>
      <c r="O274">
        <v>24.75</v>
      </c>
      <c r="P274">
        <v>21.452999999999999</v>
      </c>
      <c r="Q274">
        <v>3.297000000000001</v>
      </c>
      <c r="R274">
        <v>1000</v>
      </c>
      <c r="S274">
        <v>24</v>
      </c>
      <c r="T274">
        <v>3</v>
      </c>
      <c r="U274">
        <v>13.32121212121212</v>
      </c>
      <c r="V274">
        <v>27.27272727272727</v>
      </c>
    </row>
    <row r="275" spans="1:22" x14ac:dyDescent="0.3">
      <c r="A275">
        <v>274</v>
      </c>
      <c r="B275" t="s">
        <v>94</v>
      </c>
      <c r="C275" t="s">
        <v>113</v>
      </c>
      <c r="D275">
        <v>38215491</v>
      </c>
      <c r="E275" t="s">
        <v>115</v>
      </c>
      <c r="F275">
        <v>5</v>
      </c>
      <c r="G275">
        <v>4</v>
      </c>
      <c r="H275">
        <v>3</v>
      </c>
      <c r="I275">
        <v>2</v>
      </c>
      <c r="J275">
        <v>1</v>
      </c>
      <c r="K275">
        <v>3</v>
      </c>
      <c r="L275">
        <v>1</v>
      </c>
      <c r="M275">
        <v>0</v>
      </c>
      <c r="N275">
        <v>12</v>
      </c>
      <c r="O275">
        <v>24.75</v>
      </c>
      <c r="P275">
        <v>23.366</v>
      </c>
      <c r="Q275">
        <v>1.3839999999999999</v>
      </c>
      <c r="R275">
        <v>1000</v>
      </c>
      <c r="S275">
        <v>24</v>
      </c>
      <c r="T275">
        <v>1</v>
      </c>
      <c r="U275">
        <v>5.5919191919191933</v>
      </c>
      <c r="V275">
        <v>25</v>
      </c>
    </row>
    <row r="276" spans="1:22" x14ac:dyDescent="0.3">
      <c r="A276">
        <v>275</v>
      </c>
      <c r="B276" t="s">
        <v>94</v>
      </c>
      <c r="C276" t="s">
        <v>113</v>
      </c>
      <c r="D276">
        <v>38215491</v>
      </c>
      <c r="E276" t="s">
        <v>115</v>
      </c>
      <c r="F276">
        <v>5</v>
      </c>
      <c r="G276">
        <v>4</v>
      </c>
      <c r="H276">
        <v>3</v>
      </c>
      <c r="I276">
        <v>2</v>
      </c>
      <c r="J276">
        <v>1</v>
      </c>
      <c r="K276">
        <v>3</v>
      </c>
      <c r="L276">
        <v>1</v>
      </c>
      <c r="M276">
        <v>0</v>
      </c>
      <c r="N276">
        <v>12</v>
      </c>
      <c r="O276">
        <v>24.75</v>
      </c>
      <c r="P276">
        <v>22.498000000000001</v>
      </c>
      <c r="Q276">
        <v>2.2519999999999989</v>
      </c>
      <c r="R276">
        <v>1000</v>
      </c>
      <c r="S276">
        <v>24</v>
      </c>
      <c r="T276">
        <v>2</v>
      </c>
      <c r="U276">
        <v>9.0989898989898936</v>
      </c>
      <c r="V276">
        <v>25</v>
      </c>
    </row>
    <row r="277" spans="1:22" x14ac:dyDescent="0.3">
      <c r="A277">
        <v>276</v>
      </c>
      <c r="B277" t="s">
        <v>94</v>
      </c>
      <c r="C277" t="s">
        <v>113</v>
      </c>
      <c r="D277">
        <v>38215491</v>
      </c>
      <c r="E277" t="s">
        <v>115</v>
      </c>
      <c r="F277">
        <v>5</v>
      </c>
      <c r="G277">
        <v>4</v>
      </c>
      <c r="H277">
        <v>2</v>
      </c>
      <c r="I277">
        <v>2</v>
      </c>
      <c r="J277">
        <v>1</v>
      </c>
      <c r="K277">
        <v>3</v>
      </c>
      <c r="L277">
        <v>0</v>
      </c>
      <c r="M277">
        <v>1</v>
      </c>
      <c r="N277">
        <v>11</v>
      </c>
      <c r="O277">
        <v>23.329000000000001</v>
      </c>
      <c r="P277">
        <v>21.905999999999999</v>
      </c>
      <c r="Q277">
        <v>1.423000000000002</v>
      </c>
      <c r="R277">
        <v>1000</v>
      </c>
      <c r="S277">
        <v>23</v>
      </c>
      <c r="T277">
        <v>1</v>
      </c>
      <c r="U277">
        <v>6.0997042307857248</v>
      </c>
      <c r="V277">
        <v>18.18181818181818</v>
      </c>
    </row>
    <row r="278" spans="1:22" x14ac:dyDescent="0.3">
      <c r="A278">
        <v>277</v>
      </c>
      <c r="B278" t="s">
        <v>94</v>
      </c>
      <c r="C278" t="s">
        <v>113</v>
      </c>
      <c r="D278">
        <v>38215590</v>
      </c>
      <c r="E278" t="s">
        <v>115</v>
      </c>
      <c r="F278">
        <v>5</v>
      </c>
      <c r="G278">
        <v>2</v>
      </c>
      <c r="H278">
        <v>2</v>
      </c>
      <c r="I278">
        <v>2</v>
      </c>
      <c r="J278">
        <v>1</v>
      </c>
      <c r="K278">
        <v>3</v>
      </c>
      <c r="L278">
        <v>0</v>
      </c>
      <c r="M278">
        <v>1</v>
      </c>
      <c r="N278">
        <v>9</v>
      </c>
      <c r="O278">
        <v>24.75</v>
      </c>
      <c r="P278">
        <v>23.286999999999999</v>
      </c>
      <c r="Q278">
        <v>1.463000000000001</v>
      </c>
      <c r="R278">
        <v>1000</v>
      </c>
      <c r="S278">
        <v>24</v>
      </c>
      <c r="T278">
        <v>1</v>
      </c>
      <c r="U278">
        <v>5.911111111111115</v>
      </c>
      <c r="V278">
        <v>22.222222222222221</v>
      </c>
    </row>
    <row r="279" spans="1:22" x14ac:dyDescent="0.3">
      <c r="A279">
        <v>278</v>
      </c>
      <c r="B279" t="s">
        <v>94</v>
      </c>
      <c r="C279" t="s">
        <v>113</v>
      </c>
      <c r="D279">
        <v>38215590</v>
      </c>
      <c r="E279" t="s">
        <v>115</v>
      </c>
      <c r="F279">
        <v>5</v>
      </c>
      <c r="G279">
        <v>2</v>
      </c>
      <c r="H279">
        <v>2</v>
      </c>
      <c r="I279">
        <v>2</v>
      </c>
      <c r="J279">
        <v>1</v>
      </c>
      <c r="K279">
        <v>3</v>
      </c>
      <c r="L279">
        <v>0</v>
      </c>
      <c r="M279">
        <v>1</v>
      </c>
      <c r="N279">
        <v>9</v>
      </c>
      <c r="O279">
        <v>24.702999999999999</v>
      </c>
      <c r="P279">
        <v>22.709</v>
      </c>
      <c r="Q279">
        <v>1.994</v>
      </c>
      <c r="R279">
        <v>1000</v>
      </c>
      <c r="S279">
        <v>24</v>
      </c>
      <c r="T279">
        <v>1</v>
      </c>
      <c r="U279">
        <v>8.0718941019309387</v>
      </c>
      <c r="V279">
        <v>22.222222222222221</v>
      </c>
    </row>
    <row r="280" spans="1:22" x14ac:dyDescent="0.3">
      <c r="A280">
        <v>279</v>
      </c>
      <c r="B280" t="s">
        <v>94</v>
      </c>
      <c r="C280" t="s">
        <v>113</v>
      </c>
      <c r="D280">
        <v>38215590</v>
      </c>
      <c r="E280" t="s">
        <v>115</v>
      </c>
      <c r="F280">
        <v>5</v>
      </c>
      <c r="G280">
        <v>2</v>
      </c>
      <c r="H280">
        <v>3</v>
      </c>
      <c r="I280">
        <v>2</v>
      </c>
      <c r="J280">
        <v>1</v>
      </c>
      <c r="K280">
        <v>3</v>
      </c>
      <c r="L280">
        <v>1</v>
      </c>
      <c r="M280">
        <v>0</v>
      </c>
      <c r="N280">
        <v>10</v>
      </c>
      <c r="O280">
        <v>24.75</v>
      </c>
      <c r="P280">
        <v>22.745000000000001</v>
      </c>
      <c r="Q280">
        <v>2.004999999999999</v>
      </c>
      <c r="R280">
        <v>1000</v>
      </c>
      <c r="S280">
        <v>24</v>
      </c>
      <c r="T280">
        <v>2</v>
      </c>
      <c r="U280">
        <v>8.1010101010100968</v>
      </c>
      <c r="V280">
        <v>30</v>
      </c>
    </row>
    <row r="282" spans="1:22" x14ac:dyDescent="0.3">
      <c r="A282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7"/>
  <sheetViews>
    <sheetView rightToLeft="1" workbookViewId="0">
      <pane ySplit="1" topLeftCell="A2" activePane="bottomLeft" state="frozen"/>
      <selection pane="bottomLeft" activeCell="U11" sqref="U11"/>
    </sheetView>
  </sheetViews>
  <sheetFormatPr defaultRowHeight="14.4" x14ac:dyDescent="0.3"/>
  <cols>
    <col min="1" max="3" width="12" customWidth="1"/>
    <col min="4" max="4" width="10" customWidth="1"/>
    <col min="5" max="6" width="12" customWidth="1"/>
    <col min="7" max="8" width="10" customWidth="1"/>
    <col min="9" max="9" width="8" customWidth="1"/>
    <col min="10" max="13" width="10" customWidth="1"/>
    <col min="14" max="14" width="24" customWidth="1"/>
  </cols>
  <sheetData>
    <row r="1" spans="1:19" ht="46.8" customHeight="1" x14ac:dyDescent="0.3">
      <c r="A1" s="28" t="s">
        <v>132</v>
      </c>
      <c r="B1" s="28" t="s">
        <v>133</v>
      </c>
      <c r="C1" s="28" t="s">
        <v>134</v>
      </c>
      <c r="D1" s="28" t="s">
        <v>135</v>
      </c>
      <c r="E1" s="28" t="s">
        <v>136</v>
      </c>
      <c r="F1" s="28" t="s">
        <v>137</v>
      </c>
      <c r="G1" s="28" t="s">
        <v>138</v>
      </c>
      <c r="H1" s="28" t="s">
        <v>139</v>
      </c>
      <c r="I1" s="28" t="s">
        <v>140</v>
      </c>
      <c r="J1" s="28" t="s">
        <v>141</v>
      </c>
      <c r="K1" s="28" t="s">
        <v>142</v>
      </c>
      <c r="L1" s="28" t="s">
        <v>143</v>
      </c>
      <c r="M1" s="28" t="s">
        <v>144</v>
      </c>
      <c r="N1" s="28" t="s">
        <v>145</v>
      </c>
      <c r="O1" s="28" t="s">
        <v>146</v>
      </c>
      <c r="P1" s="28" t="s">
        <v>147</v>
      </c>
      <c r="Q1" s="28"/>
      <c r="R1" s="28"/>
      <c r="S1" s="28"/>
    </row>
    <row r="2" spans="1:19" x14ac:dyDescent="0.3">
      <c r="A2" t="s">
        <v>98</v>
      </c>
      <c r="B2" t="s">
        <v>97</v>
      </c>
      <c r="C2">
        <v>2</v>
      </c>
      <c r="D2">
        <v>1</v>
      </c>
      <c r="E2">
        <v>2</v>
      </c>
      <c r="F2">
        <v>1.833333333333333</v>
      </c>
      <c r="G2">
        <v>2.777777777777778E-2</v>
      </c>
      <c r="H2">
        <v>0.16666666666666671</v>
      </c>
      <c r="I2">
        <v>9.0909090909090912E-2</v>
      </c>
      <c r="J2">
        <v>10</v>
      </c>
      <c r="K2">
        <v>3.5842293906810032</v>
      </c>
      <c r="L2">
        <v>2</v>
      </c>
      <c r="M2">
        <v>0.2</v>
      </c>
      <c r="N2">
        <v>1</v>
      </c>
      <c r="O2">
        <v>3</v>
      </c>
      <c r="P2" t="s">
        <v>148</v>
      </c>
    </row>
    <row r="3" spans="1:19" x14ac:dyDescent="0.3">
      <c r="A3" t="s">
        <v>98</v>
      </c>
      <c r="B3" t="s">
        <v>119</v>
      </c>
      <c r="C3">
        <v>2</v>
      </c>
      <c r="D3">
        <v>1</v>
      </c>
      <c r="E3">
        <v>2</v>
      </c>
      <c r="F3">
        <v>1.833333333333333</v>
      </c>
      <c r="G3">
        <v>2.777777777777778E-2</v>
      </c>
      <c r="H3">
        <v>0.16666666666666671</v>
      </c>
      <c r="I3">
        <v>9.0909090909090912E-2</v>
      </c>
      <c r="J3">
        <v>6</v>
      </c>
      <c r="K3">
        <v>2.150537634408602</v>
      </c>
      <c r="L3">
        <v>5</v>
      </c>
      <c r="M3">
        <v>0.83333333333333337</v>
      </c>
      <c r="N3">
        <v>1</v>
      </c>
      <c r="O3">
        <v>1</v>
      </c>
      <c r="P3" t="s">
        <v>148</v>
      </c>
    </row>
    <row r="4" spans="1:19" x14ac:dyDescent="0.3">
      <c r="A4" t="s">
        <v>98</v>
      </c>
      <c r="B4" t="s">
        <v>99</v>
      </c>
      <c r="C4">
        <v>1</v>
      </c>
      <c r="D4">
        <v>1</v>
      </c>
      <c r="E4">
        <v>2</v>
      </c>
      <c r="F4">
        <v>1.166666666666667</v>
      </c>
      <c r="G4">
        <v>2.777777777777778E-2</v>
      </c>
      <c r="H4">
        <v>0.16666666666666671</v>
      </c>
      <c r="I4">
        <v>0.14285714285714279</v>
      </c>
      <c r="J4">
        <v>4</v>
      </c>
      <c r="K4">
        <v>1.433691756272401</v>
      </c>
      <c r="L4">
        <v>3</v>
      </c>
      <c r="M4">
        <v>0.75</v>
      </c>
      <c r="N4">
        <v>1</v>
      </c>
      <c r="O4">
        <v>1</v>
      </c>
      <c r="P4" t="s">
        <v>148</v>
      </c>
    </row>
    <row r="5" spans="1:19" x14ac:dyDescent="0.3">
      <c r="A5" t="s">
        <v>94</v>
      </c>
      <c r="B5" t="s">
        <v>95</v>
      </c>
      <c r="C5">
        <v>3</v>
      </c>
      <c r="D5">
        <v>2</v>
      </c>
      <c r="E5">
        <v>4</v>
      </c>
      <c r="F5">
        <v>3</v>
      </c>
      <c r="G5">
        <v>0.1111111111111111</v>
      </c>
      <c r="H5">
        <v>0.33333333333333331</v>
      </c>
      <c r="I5">
        <v>0.1111111111111111</v>
      </c>
      <c r="J5">
        <v>37</v>
      </c>
      <c r="K5">
        <v>13.261648745519709</v>
      </c>
      <c r="L5">
        <v>4</v>
      </c>
      <c r="M5">
        <v>0.1081081081081081</v>
      </c>
      <c r="N5">
        <v>1</v>
      </c>
      <c r="O5">
        <v>2</v>
      </c>
    </row>
    <row r="6" spans="1:19" x14ac:dyDescent="0.3">
      <c r="A6" t="s">
        <v>94</v>
      </c>
      <c r="B6" t="s">
        <v>97</v>
      </c>
      <c r="C6">
        <v>3</v>
      </c>
      <c r="D6">
        <v>2</v>
      </c>
      <c r="E6">
        <v>5</v>
      </c>
      <c r="F6">
        <v>3.166666666666667</v>
      </c>
      <c r="G6">
        <v>0.25</v>
      </c>
      <c r="H6">
        <v>0.5</v>
      </c>
      <c r="I6">
        <v>0.15789473684210531</v>
      </c>
      <c r="J6">
        <v>103</v>
      </c>
      <c r="K6">
        <v>36.917562724014338</v>
      </c>
      <c r="L6">
        <v>24</v>
      </c>
      <c r="M6">
        <v>0.23300970873786411</v>
      </c>
      <c r="N6">
        <v>1</v>
      </c>
      <c r="O6">
        <v>2</v>
      </c>
    </row>
    <row r="7" spans="1:19" x14ac:dyDescent="0.3">
      <c r="A7" t="s">
        <v>94</v>
      </c>
      <c r="B7" t="s">
        <v>113</v>
      </c>
      <c r="C7">
        <v>2</v>
      </c>
      <c r="D7">
        <v>1</v>
      </c>
      <c r="E7">
        <v>3</v>
      </c>
      <c r="F7">
        <v>2</v>
      </c>
      <c r="G7">
        <v>0.1111111111111111</v>
      </c>
      <c r="H7">
        <v>0.33333333333333331</v>
      </c>
      <c r="I7">
        <v>0.16666666666666671</v>
      </c>
      <c r="J7">
        <v>32</v>
      </c>
      <c r="K7">
        <v>11.46953405017921</v>
      </c>
      <c r="L7">
        <v>16</v>
      </c>
      <c r="M7">
        <v>0.5</v>
      </c>
      <c r="N7">
        <v>1</v>
      </c>
      <c r="O7">
        <v>2</v>
      </c>
    </row>
    <row r="8" spans="1:19" x14ac:dyDescent="0.3">
      <c r="A8" t="s">
        <v>94</v>
      </c>
      <c r="B8" t="s">
        <v>124</v>
      </c>
      <c r="C8">
        <v>4</v>
      </c>
      <c r="D8">
        <v>3</v>
      </c>
      <c r="E8">
        <v>5</v>
      </c>
      <c r="F8">
        <v>4</v>
      </c>
      <c r="G8">
        <v>0.1111111111111111</v>
      </c>
      <c r="H8">
        <v>0.33333333333333331</v>
      </c>
      <c r="I8">
        <v>8.3333333333333329E-2</v>
      </c>
      <c r="J8">
        <v>8</v>
      </c>
      <c r="K8">
        <v>2.8673835125448028</v>
      </c>
      <c r="L8">
        <v>2</v>
      </c>
      <c r="M8">
        <v>0.25</v>
      </c>
      <c r="N8">
        <v>1</v>
      </c>
      <c r="O8">
        <v>1</v>
      </c>
      <c r="P8" t="s">
        <v>148</v>
      </c>
    </row>
    <row r="9" spans="1:19" x14ac:dyDescent="0.3">
      <c r="A9" t="s">
        <v>94</v>
      </c>
      <c r="B9" t="s">
        <v>122</v>
      </c>
      <c r="C9">
        <v>3</v>
      </c>
      <c r="D9">
        <v>2</v>
      </c>
      <c r="E9">
        <v>4</v>
      </c>
      <c r="F9">
        <v>3</v>
      </c>
      <c r="G9">
        <v>0.1111111111111111</v>
      </c>
      <c r="H9">
        <v>0.33333333333333331</v>
      </c>
      <c r="I9">
        <v>0.1111111111111111</v>
      </c>
      <c r="J9">
        <v>9</v>
      </c>
      <c r="K9">
        <v>3.225806451612903</v>
      </c>
      <c r="L9">
        <v>4</v>
      </c>
      <c r="M9">
        <v>0.44444444444444442</v>
      </c>
      <c r="N9">
        <v>1</v>
      </c>
      <c r="O9">
        <v>1</v>
      </c>
      <c r="P9" t="s">
        <v>148</v>
      </c>
    </row>
    <row r="10" spans="1:19" x14ac:dyDescent="0.3">
      <c r="A10" t="s">
        <v>94</v>
      </c>
      <c r="B10" t="s">
        <v>110</v>
      </c>
      <c r="C10">
        <v>3</v>
      </c>
      <c r="D10">
        <v>2</v>
      </c>
      <c r="E10">
        <v>4</v>
      </c>
      <c r="F10">
        <v>3</v>
      </c>
      <c r="G10">
        <v>0.1111111111111111</v>
      </c>
      <c r="H10">
        <v>0.33333333333333331</v>
      </c>
      <c r="I10">
        <v>0.1111111111111111</v>
      </c>
      <c r="J10">
        <v>4</v>
      </c>
      <c r="K10">
        <v>1.433691756272401</v>
      </c>
      <c r="L10">
        <v>1</v>
      </c>
      <c r="M10">
        <v>0.25</v>
      </c>
      <c r="N10">
        <v>1</v>
      </c>
      <c r="O10">
        <v>1</v>
      </c>
      <c r="P10" t="s">
        <v>148</v>
      </c>
    </row>
    <row r="11" spans="1:19" x14ac:dyDescent="0.3">
      <c r="A11" t="s">
        <v>126</v>
      </c>
      <c r="B11" t="s">
        <v>119</v>
      </c>
      <c r="C11">
        <v>2</v>
      </c>
      <c r="D11">
        <v>1</v>
      </c>
      <c r="E11">
        <v>3</v>
      </c>
      <c r="F11">
        <v>2</v>
      </c>
      <c r="G11">
        <v>0.1111111111111111</v>
      </c>
      <c r="H11">
        <v>0.33333333333333331</v>
      </c>
      <c r="I11">
        <v>0.16666666666666671</v>
      </c>
      <c r="J11">
        <v>6</v>
      </c>
      <c r="K11">
        <v>2.150537634408602</v>
      </c>
      <c r="L11">
        <v>4</v>
      </c>
      <c r="M11">
        <v>0.66666666666666663</v>
      </c>
      <c r="N11">
        <v>1</v>
      </c>
      <c r="O11">
        <v>2</v>
      </c>
      <c r="P11" t="s">
        <v>148</v>
      </c>
    </row>
    <row r="12" spans="1:19" x14ac:dyDescent="0.3">
      <c r="A12" t="s">
        <v>126</v>
      </c>
      <c r="B12" t="s">
        <v>122</v>
      </c>
      <c r="C12">
        <v>2</v>
      </c>
      <c r="D12">
        <v>1</v>
      </c>
      <c r="E12">
        <v>3</v>
      </c>
      <c r="F12">
        <v>2</v>
      </c>
      <c r="G12">
        <v>0.1111111111111111</v>
      </c>
      <c r="H12">
        <v>0.33333333333333331</v>
      </c>
      <c r="I12">
        <v>0.16666666666666671</v>
      </c>
      <c r="J12">
        <v>4</v>
      </c>
      <c r="K12">
        <v>1.433691756272401</v>
      </c>
      <c r="L12">
        <v>4</v>
      </c>
      <c r="M12">
        <v>1</v>
      </c>
      <c r="N12">
        <v>1</v>
      </c>
      <c r="O12">
        <v>3</v>
      </c>
      <c r="P12" t="s">
        <v>148</v>
      </c>
    </row>
    <row r="13" spans="1:19" x14ac:dyDescent="0.3">
      <c r="A13" t="s">
        <v>118</v>
      </c>
      <c r="B13" t="s">
        <v>95</v>
      </c>
      <c r="C13">
        <v>3</v>
      </c>
      <c r="D13">
        <v>2</v>
      </c>
      <c r="E13">
        <v>4</v>
      </c>
      <c r="F13">
        <v>3</v>
      </c>
      <c r="G13">
        <v>0.1111111111111111</v>
      </c>
      <c r="H13">
        <v>0.33333333333333331</v>
      </c>
      <c r="I13">
        <v>0.1111111111111111</v>
      </c>
      <c r="J13">
        <v>3</v>
      </c>
      <c r="K13">
        <v>1.075268817204301</v>
      </c>
      <c r="L13">
        <v>1</v>
      </c>
      <c r="M13">
        <v>0.33333333333333331</v>
      </c>
      <c r="N13">
        <v>1</v>
      </c>
      <c r="O13">
        <v>1</v>
      </c>
      <c r="P13" t="s">
        <v>148</v>
      </c>
    </row>
    <row r="14" spans="1:19" x14ac:dyDescent="0.3">
      <c r="A14" t="s">
        <v>118</v>
      </c>
      <c r="B14" t="s">
        <v>97</v>
      </c>
      <c r="C14">
        <v>3</v>
      </c>
      <c r="D14">
        <v>2</v>
      </c>
      <c r="E14">
        <v>4</v>
      </c>
      <c r="F14">
        <v>3</v>
      </c>
      <c r="G14">
        <v>0.1111111111111111</v>
      </c>
      <c r="H14">
        <v>0.33333333333333331</v>
      </c>
      <c r="I14">
        <v>0.1111111111111111</v>
      </c>
      <c r="J14">
        <v>13</v>
      </c>
      <c r="K14">
        <v>4.6594982078853047</v>
      </c>
      <c r="L14">
        <v>4</v>
      </c>
      <c r="M14">
        <v>0.30769230769230771</v>
      </c>
      <c r="N14">
        <v>1</v>
      </c>
      <c r="O14">
        <v>2</v>
      </c>
      <c r="P14" t="s">
        <v>148</v>
      </c>
    </row>
    <row r="15" spans="1:19" x14ac:dyDescent="0.3">
      <c r="A15" t="s">
        <v>118</v>
      </c>
      <c r="B15" t="s">
        <v>99</v>
      </c>
      <c r="C15">
        <v>4</v>
      </c>
      <c r="D15">
        <v>3</v>
      </c>
      <c r="E15">
        <v>5</v>
      </c>
      <c r="F15">
        <v>4</v>
      </c>
      <c r="G15">
        <v>0.1111111111111111</v>
      </c>
      <c r="H15">
        <v>0.33333333333333331</v>
      </c>
      <c r="I15">
        <v>8.3333333333333329E-2</v>
      </c>
      <c r="J15">
        <v>4</v>
      </c>
      <c r="K15">
        <v>1.433691756272401</v>
      </c>
      <c r="L15">
        <v>0</v>
      </c>
      <c r="M15">
        <v>0</v>
      </c>
      <c r="N15">
        <v>0</v>
      </c>
      <c r="O15">
        <v>0</v>
      </c>
      <c r="P15" t="s">
        <v>148</v>
      </c>
    </row>
    <row r="16" spans="1:19" x14ac:dyDescent="0.3">
      <c r="A16" t="s">
        <v>121</v>
      </c>
      <c r="B16" t="s">
        <v>95</v>
      </c>
      <c r="C16">
        <v>3</v>
      </c>
      <c r="D16">
        <v>2</v>
      </c>
      <c r="E16">
        <v>4</v>
      </c>
      <c r="F16">
        <v>3</v>
      </c>
      <c r="G16">
        <v>0.1111111111111111</v>
      </c>
      <c r="H16">
        <v>0.33333333333333331</v>
      </c>
      <c r="I16">
        <v>0.1111111111111111</v>
      </c>
      <c r="J16">
        <v>8</v>
      </c>
      <c r="K16">
        <v>2.8673835125448028</v>
      </c>
      <c r="L16">
        <v>2</v>
      </c>
      <c r="M16">
        <v>0.25</v>
      </c>
      <c r="N16">
        <v>1</v>
      </c>
      <c r="O16">
        <v>1</v>
      </c>
      <c r="P16" t="s">
        <v>148</v>
      </c>
    </row>
    <row r="17" spans="1:16" x14ac:dyDescent="0.3">
      <c r="A17" t="s">
        <v>121</v>
      </c>
      <c r="B17" t="s">
        <v>97</v>
      </c>
      <c r="C17">
        <v>3</v>
      </c>
      <c r="D17">
        <v>2</v>
      </c>
      <c r="E17">
        <v>4</v>
      </c>
      <c r="F17">
        <v>3</v>
      </c>
      <c r="G17">
        <v>0.1111111111111111</v>
      </c>
      <c r="H17">
        <v>0.33333333333333331</v>
      </c>
      <c r="I17">
        <v>0.1111111111111111</v>
      </c>
      <c r="J17">
        <v>11</v>
      </c>
      <c r="K17">
        <v>3.9426523297491038</v>
      </c>
      <c r="L17">
        <v>5</v>
      </c>
      <c r="M17">
        <v>0.45454545454545447</v>
      </c>
      <c r="N17">
        <v>1</v>
      </c>
      <c r="O17">
        <v>2</v>
      </c>
      <c r="P17" t="s">
        <v>148</v>
      </c>
    </row>
    <row r="18" spans="1:16" x14ac:dyDescent="0.3">
      <c r="A18" t="s">
        <v>121</v>
      </c>
      <c r="B18" t="s">
        <v>110</v>
      </c>
      <c r="C18">
        <v>3</v>
      </c>
      <c r="D18">
        <v>2</v>
      </c>
      <c r="E18">
        <v>4</v>
      </c>
      <c r="F18">
        <v>3</v>
      </c>
      <c r="G18">
        <v>0.1111111111111111</v>
      </c>
      <c r="H18">
        <v>0.33333333333333331</v>
      </c>
      <c r="I18">
        <v>0.1111111111111111</v>
      </c>
      <c r="J18">
        <v>6</v>
      </c>
      <c r="K18">
        <v>2.150537634408602</v>
      </c>
      <c r="L18">
        <v>1</v>
      </c>
      <c r="M18">
        <v>0.16666666666666671</v>
      </c>
      <c r="N18">
        <v>1</v>
      </c>
      <c r="O18">
        <v>1</v>
      </c>
      <c r="P18" t="s">
        <v>148</v>
      </c>
    </row>
    <row r="19" spans="1:16" x14ac:dyDescent="0.3">
      <c r="A19" t="s">
        <v>121</v>
      </c>
      <c r="B19" t="s">
        <v>129</v>
      </c>
      <c r="C19">
        <v>4</v>
      </c>
      <c r="D19">
        <v>3</v>
      </c>
      <c r="E19">
        <v>5</v>
      </c>
      <c r="F19">
        <v>4</v>
      </c>
      <c r="G19">
        <v>0.1111111111111111</v>
      </c>
      <c r="H19">
        <v>0.33333333333333331</v>
      </c>
      <c r="I19">
        <v>8.3333333333333329E-2</v>
      </c>
      <c r="J19">
        <v>11</v>
      </c>
      <c r="K19">
        <v>3.9426523297491038</v>
      </c>
      <c r="L19">
        <v>2</v>
      </c>
      <c r="M19">
        <v>0.1818181818181818</v>
      </c>
      <c r="N19">
        <v>1</v>
      </c>
      <c r="O19">
        <v>1</v>
      </c>
      <c r="P19" t="s">
        <v>148</v>
      </c>
    </row>
    <row r="21" spans="1:16" x14ac:dyDescent="0.3">
      <c r="A21" t="s">
        <v>149</v>
      </c>
      <c r="B21" t="s">
        <v>150</v>
      </c>
    </row>
    <row r="22" spans="1:16" x14ac:dyDescent="0.3">
      <c r="A22" t="s">
        <v>107</v>
      </c>
      <c r="B22">
        <v>20</v>
      </c>
    </row>
    <row r="23" spans="1:16" x14ac:dyDescent="0.3">
      <c r="A23" t="s">
        <v>102</v>
      </c>
      <c r="B23">
        <v>25</v>
      </c>
    </row>
    <row r="24" spans="1:16" x14ac:dyDescent="0.3">
      <c r="A24" t="s">
        <v>103</v>
      </c>
      <c r="B24">
        <v>50</v>
      </c>
    </row>
    <row r="25" spans="1:16" x14ac:dyDescent="0.3">
      <c r="A25" t="s">
        <v>108</v>
      </c>
      <c r="B25">
        <v>50</v>
      </c>
    </row>
    <row r="26" spans="1:16" x14ac:dyDescent="0.3">
      <c r="A26" t="s">
        <v>100</v>
      </c>
      <c r="B26">
        <v>25</v>
      </c>
    </row>
    <row r="27" spans="1:16" x14ac:dyDescent="0.3">
      <c r="A27" t="s">
        <v>127</v>
      </c>
      <c r="B27">
        <v>25</v>
      </c>
    </row>
    <row r="28" spans="1:16" x14ac:dyDescent="0.3">
      <c r="A28" t="s">
        <v>96</v>
      </c>
      <c r="B28">
        <v>60</v>
      </c>
    </row>
    <row r="29" spans="1:16" x14ac:dyDescent="0.3">
      <c r="A29" t="s">
        <v>105</v>
      </c>
      <c r="B29">
        <v>25</v>
      </c>
    </row>
    <row r="30" spans="1:16" x14ac:dyDescent="0.3">
      <c r="A30" t="s">
        <v>101</v>
      </c>
      <c r="B30">
        <v>25</v>
      </c>
    </row>
    <row r="31" spans="1:16" x14ac:dyDescent="0.3">
      <c r="A31" t="s">
        <v>104</v>
      </c>
      <c r="B31">
        <v>25</v>
      </c>
    </row>
    <row r="32" spans="1:16" x14ac:dyDescent="0.3">
      <c r="A32" t="s">
        <v>130</v>
      </c>
      <c r="B32">
        <v>1200</v>
      </c>
    </row>
    <row r="33" spans="1:2" x14ac:dyDescent="0.3">
      <c r="A33" t="s">
        <v>111</v>
      </c>
      <c r="B33">
        <v>50</v>
      </c>
    </row>
    <row r="34" spans="1:2" x14ac:dyDescent="0.3">
      <c r="A34" t="s">
        <v>115</v>
      </c>
      <c r="B34">
        <v>1000</v>
      </c>
    </row>
    <row r="35" spans="1:2" x14ac:dyDescent="0.3">
      <c r="A35" t="s">
        <v>120</v>
      </c>
      <c r="B35">
        <v>15</v>
      </c>
    </row>
    <row r="36" spans="1:2" x14ac:dyDescent="0.3">
      <c r="A36" t="s">
        <v>125</v>
      </c>
      <c r="B36">
        <v>1000</v>
      </c>
    </row>
    <row r="37" spans="1:2" x14ac:dyDescent="0.3">
      <c r="A37" t="s">
        <v>128</v>
      </c>
      <c r="B37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1003"/>
  <sheetViews>
    <sheetView rightToLeft="1" zoomScale="90" zoomScaleNormal="90" workbookViewId="0">
      <selection activeCell="F31" sqref="F31"/>
    </sheetView>
  </sheetViews>
  <sheetFormatPr defaultRowHeight="14.4" x14ac:dyDescent="0.3"/>
  <cols>
    <col min="2" max="2" width="28" customWidth="1"/>
    <col min="3" max="7" width="14" customWidth="1"/>
    <col min="13" max="13" width="10" customWidth="1"/>
    <col min="14" max="18" width="14" customWidth="1"/>
  </cols>
  <sheetData>
    <row r="1" spans="2:14" x14ac:dyDescent="0.3">
      <c r="B1" t="s">
        <v>151</v>
      </c>
    </row>
    <row r="3" spans="2:14" x14ac:dyDescent="0.3">
      <c r="B3" t="s">
        <v>152</v>
      </c>
      <c r="F3" t="s">
        <v>153</v>
      </c>
      <c r="I3" t="s">
        <v>154</v>
      </c>
      <c r="J3" t="s">
        <v>155</v>
      </c>
      <c r="K3" t="s">
        <v>156</v>
      </c>
      <c r="L3" t="s">
        <v>157</v>
      </c>
      <c r="M3" t="s">
        <v>158</v>
      </c>
      <c r="N3" t="s">
        <v>159</v>
      </c>
    </row>
    <row r="4" spans="2:14" x14ac:dyDescent="0.3">
      <c r="B4" t="s">
        <v>27</v>
      </c>
      <c r="C4">
        <v>3</v>
      </c>
      <c r="F4" t="s">
        <v>160</v>
      </c>
      <c r="G4">
        <v>3.1728089545642271</v>
      </c>
      <c r="I4">
        <v>1</v>
      </c>
      <c r="J4">
        <v>2.940689832751731</v>
      </c>
      <c r="K4">
        <v>0</v>
      </c>
      <c r="L4">
        <v>0</v>
      </c>
      <c r="M4">
        <v>2.940689832751731</v>
      </c>
      <c r="N4">
        <v>1</v>
      </c>
    </row>
    <row r="5" spans="2:14" x14ac:dyDescent="0.3">
      <c r="B5" t="s">
        <v>161</v>
      </c>
      <c r="C5">
        <v>2</v>
      </c>
      <c r="F5" t="s">
        <v>162</v>
      </c>
      <c r="G5">
        <v>0.61840019285467251</v>
      </c>
      <c r="I5">
        <v>2</v>
      </c>
      <c r="J5">
        <v>3.264402090587061</v>
      </c>
      <c r="K5">
        <v>0</v>
      </c>
      <c r="L5">
        <v>0</v>
      </c>
      <c r="M5">
        <v>3.264402090587061</v>
      </c>
      <c r="N5">
        <v>0</v>
      </c>
    </row>
    <row r="6" spans="2:14" x14ac:dyDescent="0.3">
      <c r="B6" t="s">
        <v>163</v>
      </c>
      <c r="C6">
        <v>3</v>
      </c>
      <c r="F6" t="s">
        <v>164</v>
      </c>
      <c r="G6">
        <v>0.46</v>
      </c>
      <c r="I6">
        <v>3</v>
      </c>
      <c r="J6">
        <v>2.9737353353401499</v>
      </c>
      <c r="K6">
        <v>1</v>
      </c>
      <c r="L6">
        <v>1.5331141868216871</v>
      </c>
      <c r="M6">
        <v>4.5068495221618363</v>
      </c>
      <c r="N6">
        <v>0</v>
      </c>
    </row>
    <row r="7" spans="2:14" x14ac:dyDescent="0.3">
      <c r="B7" t="s">
        <v>165</v>
      </c>
      <c r="C7">
        <v>4</v>
      </c>
      <c r="F7" t="s">
        <v>166</v>
      </c>
      <c r="G7">
        <v>0.19490621771130481</v>
      </c>
      <c r="I7">
        <v>4</v>
      </c>
      <c r="J7">
        <v>2.7767805074076568</v>
      </c>
      <c r="K7">
        <v>0</v>
      </c>
      <c r="L7">
        <v>0</v>
      </c>
      <c r="M7">
        <v>2.7767805074076568</v>
      </c>
      <c r="N7">
        <v>1</v>
      </c>
    </row>
    <row r="8" spans="2:14" x14ac:dyDescent="0.3">
      <c r="B8" t="s">
        <v>167</v>
      </c>
      <c r="C8">
        <v>3</v>
      </c>
      <c r="F8" t="s">
        <v>168</v>
      </c>
      <c r="G8">
        <v>4.5819307982229507</v>
      </c>
      <c r="I8">
        <v>5</v>
      </c>
      <c r="J8">
        <v>3.7073997049496712</v>
      </c>
      <c r="K8">
        <v>0</v>
      </c>
      <c r="L8">
        <v>0</v>
      </c>
      <c r="M8">
        <v>3.7073997049496712</v>
      </c>
      <c r="N8">
        <v>0</v>
      </c>
    </row>
    <row r="9" spans="2:14" x14ac:dyDescent="0.3">
      <c r="B9" t="s">
        <v>169</v>
      </c>
      <c r="C9">
        <v>3</v>
      </c>
      <c r="F9" t="s">
        <v>170</v>
      </c>
      <c r="G9">
        <v>4.8954980880629186</v>
      </c>
      <c r="I9">
        <v>6</v>
      </c>
      <c r="J9">
        <v>2.8923914789998348</v>
      </c>
      <c r="K9">
        <v>0</v>
      </c>
      <c r="L9">
        <v>0</v>
      </c>
      <c r="M9">
        <v>2.8923914789998348</v>
      </c>
      <c r="N9">
        <v>1</v>
      </c>
    </row>
    <row r="10" spans="2:14" x14ac:dyDescent="0.3">
      <c r="B10" t="s">
        <v>171</v>
      </c>
      <c r="C10">
        <v>0.1081081081081081</v>
      </c>
      <c r="F10" t="s">
        <v>172</v>
      </c>
      <c r="G10">
        <v>0.31356728983996801</v>
      </c>
      <c r="I10">
        <v>7</v>
      </c>
      <c r="J10">
        <v>3.4745637516596699</v>
      </c>
      <c r="K10">
        <v>0</v>
      </c>
      <c r="L10">
        <v>0</v>
      </c>
      <c r="M10">
        <v>3.4745637516596699</v>
      </c>
      <c r="N10">
        <v>0</v>
      </c>
    </row>
    <row r="11" spans="2:14" x14ac:dyDescent="0.3">
      <c r="B11" t="s">
        <v>145</v>
      </c>
      <c r="C11">
        <v>1</v>
      </c>
      <c r="F11" t="s">
        <v>173</v>
      </c>
      <c r="G11">
        <v>0.52731026607431686</v>
      </c>
      <c r="I11">
        <v>8</v>
      </c>
      <c r="J11">
        <v>2.964274334765066</v>
      </c>
      <c r="K11">
        <v>0</v>
      </c>
      <c r="L11">
        <v>0</v>
      </c>
      <c r="M11">
        <v>2.964274334765066</v>
      </c>
      <c r="N11">
        <v>1</v>
      </c>
    </row>
    <row r="12" spans="2:14" x14ac:dyDescent="0.3">
      <c r="B12" t="s">
        <v>146</v>
      </c>
      <c r="C12">
        <v>2</v>
      </c>
      <c r="F12" t="s">
        <v>174</v>
      </c>
      <c r="G12">
        <v>1.527310266074317</v>
      </c>
      <c r="I12">
        <v>9</v>
      </c>
      <c r="J12">
        <v>3.321880899924003</v>
      </c>
      <c r="K12">
        <v>0</v>
      </c>
      <c r="L12">
        <v>0</v>
      </c>
      <c r="M12">
        <v>3.321880899924003</v>
      </c>
      <c r="N12">
        <v>0</v>
      </c>
    </row>
    <row r="13" spans="2:14" x14ac:dyDescent="0.3">
      <c r="B13" t="s">
        <v>175</v>
      </c>
      <c r="C13">
        <v>1000</v>
      </c>
      <c r="F13" t="s">
        <v>176</v>
      </c>
      <c r="G13">
        <v>1.4091218436587241</v>
      </c>
      <c r="I13">
        <v>10</v>
      </c>
      <c r="J13">
        <v>3.7246550897954518</v>
      </c>
      <c r="K13">
        <v>0</v>
      </c>
      <c r="L13">
        <v>0</v>
      </c>
      <c r="M13">
        <v>3.7246550897954518</v>
      </c>
      <c r="N13">
        <v>0</v>
      </c>
    </row>
    <row r="14" spans="2:14" x14ac:dyDescent="0.3">
      <c r="I14">
        <v>11</v>
      </c>
      <c r="J14">
        <v>2.6541543421053841</v>
      </c>
      <c r="K14">
        <v>0</v>
      </c>
      <c r="L14">
        <v>0</v>
      </c>
      <c r="M14">
        <v>2.6541543421053841</v>
      </c>
      <c r="N14">
        <v>1</v>
      </c>
    </row>
    <row r="15" spans="2:14" x14ac:dyDescent="0.3">
      <c r="I15">
        <v>12</v>
      </c>
      <c r="J15">
        <v>2.652391281143617</v>
      </c>
      <c r="K15">
        <v>0</v>
      </c>
      <c r="L15">
        <v>0</v>
      </c>
      <c r="M15">
        <v>2.652391281143617</v>
      </c>
      <c r="N15">
        <v>1</v>
      </c>
    </row>
    <row r="16" spans="2:14" x14ac:dyDescent="0.3">
      <c r="I16">
        <v>13</v>
      </c>
      <c r="J16">
        <v>2.921744745160797</v>
      </c>
      <c r="K16">
        <v>0</v>
      </c>
      <c r="L16">
        <v>0</v>
      </c>
      <c r="M16">
        <v>2.921744745160797</v>
      </c>
      <c r="N16">
        <v>1</v>
      </c>
    </row>
    <row r="17" spans="6:14" x14ac:dyDescent="0.3">
      <c r="F17" t="s">
        <v>177</v>
      </c>
      <c r="I17">
        <v>14</v>
      </c>
      <c r="J17">
        <v>2.5617251603544791</v>
      </c>
      <c r="K17">
        <v>0</v>
      </c>
      <c r="L17">
        <v>0</v>
      </c>
      <c r="M17">
        <v>2.5617251603544791</v>
      </c>
      <c r="N17">
        <v>1</v>
      </c>
    </row>
    <row r="18" spans="6:14" x14ac:dyDescent="0.3">
      <c r="F18" t="s">
        <v>178</v>
      </c>
      <c r="G18">
        <v>3.0543688119070782</v>
      </c>
      <c r="I18">
        <v>15</v>
      </c>
      <c r="J18">
        <v>2.735994187737417</v>
      </c>
      <c r="K18">
        <v>0</v>
      </c>
      <c r="L18">
        <v>0</v>
      </c>
      <c r="M18">
        <v>2.735994187737417</v>
      </c>
      <c r="N18">
        <v>1</v>
      </c>
    </row>
    <row r="19" spans="6:14" x14ac:dyDescent="0.3">
      <c r="F19" t="s">
        <v>179</v>
      </c>
      <c r="G19">
        <v>4.0316876234638466</v>
      </c>
      <c r="I19">
        <v>16</v>
      </c>
      <c r="J19">
        <v>2.6238717661085889</v>
      </c>
      <c r="K19">
        <v>0</v>
      </c>
      <c r="L19">
        <v>0</v>
      </c>
      <c r="M19">
        <v>2.6238717661085889</v>
      </c>
      <c r="N19">
        <v>1</v>
      </c>
    </row>
    <row r="20" spans="6:14" x14ac:dyDescent="0.3">
      <c r="F20" t="s">
        <v>180</v>
      </c>
      <c r="G20">
        <v>4.5819307982229507</v>
      </c>
      <c r="I20">
        <v>17</v>
      </c>
      <c r="J20">
        <v>2.4456895762056199</v>
      </c>
      <c r="K20">
        <v>0</v>
      </c>
      <c r="L20">
        <v>0</v>
      </c>
      <c r="M20">
        <v>2.4456895762056199</v>
      </c>
      <c r="N20">
        <v>1</v>
      </c>
    </row>
    <row r="21" spans="6:14" x14ac:dyDescent="0.3">
      <c r="I21">
        <v>18</v>
      </c>
      <c r="J21">
        <v>2.7933189778279361</v>
      </c>
      <c r="K21">
        <v>0</v>
      </c>
      <c r="L21">
        <v>0</v>
      </c>
      <c r="M21">
        <v>2.7933189778279361</v>
      </c>
      <c r="N21">
        <v>1</v>
      </c>
    </row>
    <row r="22" spans="6:14" x14ac:dyDescent="0.3">
      <c r="I22">
        <v>19</v>
      </c>
      <c r="J22">
        <v>2.6952099907256328</v>
      </c>
      <c r="K22">
        <v>0</v>
      </c>
      <c r="L22">
        <v>0</v>
      </c>
      <c r="M22">
        <v>2.6952099907256328</v>
      </c>
      <c r="N22">
        <v>1</v>
      </c>
    </row>
    <row r="23" spans="6:14" x14ac:dyDescent="0.3">
      <c r="I23">
        <v>20</v>
      </c>
      <c r="J23">
        <v>3.4328521393088391</v>
      </c>
      <c r="K23">
        <v>0</v>
      </c>
      <c r="L23">
        <v>0</v>
      </c>
      <c r="M23">
        <v>3.4328521393088391</v>
      </c>
      <c r="N23">
        <v>0</v>
      </c>
    </row>
    <row r="24" spans="6:14" x14ac:dyDescent="0.3">
      <c r="I24">
        <v>21</v>
      </c>
      <c r="J24">
        <v>3.244854988386948</v>
      </c>
      <c r="K24">
        <v>0</v>
      </c>
      <c r="L24">
        <v>0</v>
      </c>
      <c r="M24">
        <v>3.244854988386948</v>
      </c>
      <c r="N24">
        <v>0</v>
      </c>
    </row>
    <row r="25" spans="6:14" x14ac:dyDescent="0.3">
      <c r="I25">
        <v>22</v>
      </c>
      <c r="J25">
        <v>3.39506645597268</v>
      </c>
      <c r="K25">
        <v>0</v>
      </c>
      <c r="L25">
        <v>0</v>
      </c>
      <c r="M25">
        <v>3.39506645597268</v>
      </c>
      <c r="N25">
        <v>0</v>
      </c>
    </row>
    <row r="26" spans="6:14" x14ac:dyDescent="0.3">
      <c r="I26">
        <v>23</v>
      </c>
      <c r="J26">
        <v>3.3595389789823811</v>
      </c>
      <c r="K26">
        <v>0</v>
      </c>
      <c r="L26">
        <v>0</v>
      </c>
      <c r="M26">
        <v>3.3595389789823811</v>
      </c>
      <c r="N26">
        <v>0</v>
      </c>
    </row>
    <row r="27" spans="6:14" x14ac:dyDescent="0.3">
      <c r="I27">
        <v>24</v>
      </c>
      <c r="J27">
        <v>3.095259286583214</v>
      </c>
      <c r="K27">
        <v>1</v>
      </c>
      <c r="L27">
        <v>1.692000086041997</v>
      </c>
      <c r="M27">
        <v>4.7872593726252113</v>
      </c>
      <c r="N27">
        <v>0</v>
      </c>
    </row>
    <row r="28" spans="6:14" x14ac:dyDescent="0.3">
      <c r="I28">
        <v>25</v>
      </c>
      <c r="J28">
        <v>2.4622257395249489</v>
      </c>
      <c r="K28">
        <v>0</v>
      </c>
      <c r="L28">
        <v>0</v>
      </c>
      <c r="M28">
        <v>2.4622257395249489</v>
      </c>
      <c r="N28">
        <v>1</v>
      </c>
    </row>
    <row r="29" spans="6:14" x14ac:dyDescent="0.3">
      <c r="I29">
        <v>26</v>
      </c>
      <c r="J29">
        <v>3.6015985476194929</v>
      </c>
      <c r="K29">
        <v>1</v>
      </c>
      <c r="L29">
        <v>1.0442856616569021</v>
      </c>
      <c r="M29">
        <v>4.645884209276395</v>
      </c>
      <c r="N29">
        <v>0</v>
      </c>
    </row>
    <row r="30" spans="6:14" x14ac:dyDescent="0.3">
      <c r="I30">
        <v>27</v>
      </c>
      <c r="J30">
        <v>2.527822801764974</v>
      </c>
      <c r="K30">
        <v>0</v>
      </c>
      <c r="L30">
        <v>0</v>
      </c>
      <c r="M30">
        <v>2.527822801764974</v>
      </c>
      <c r="N30">
        <v>1</v>
      </c>
    </row>
    <row r="31" spans="6:14" x14ac:dyDescent="0.3">
      <c r="I31">
        <v>28</v>
      </c>
      <c r="J31">
        <v>3.10331032644909</v>
      </c>
      <c r="K31">
        <v>0</v>
      </c>
      <c r="L31">
        <v>0</v>
      </c>
      <c r="M31">
        <v>3.10331032644909</v>
      </c>
      <c r="N31">
        <v>0</v>
      </c>
    </row>
    <row r="32" spans="6:14" x14ac:dyDescent="0.3">
      <c r="I32">
        <v>29</v>
      </c>
      <c r="J32">
        <v>2.9592214228202609</v>
      </c>
      <c r="K32">
        <v>0</v>
      </c>
      <c r="L32">
        <v>0</v>
      </c>
      <c r="M32">
        <v>2.9592214228202609</v>
      </c>
      <c r="N32">
        <v>1</v>
      </c>
    </row>
    <row r="33" spans="9:14" x14ac:dyDescent="0.3">
      <c r="I33">
        <v>30</v>
      </c>
      <c r="J33">
        <v>2.774227561844965</v>
      </c>
      <c r="K33">
        <v>1</v>
      </c>
      <c r="L33">
        <v>1.5536432355048799</v>
      </c>
      <c r="M33">
        <v>4.3278707973498456</v>
      </c>
      <c r="N33">
        <v>0</v>
      </c>
    </row>
    <row r="34" spans="9:14" x14ac:dyDescent="0.3">
      <c r="I34">
        <v>31</v>
      </c>
      <c r="J34">
        <v>3.8838379893714778</v>
      </c>
      <c r="K34">
        <v>0</v>
      </c>
      <c r="L34">
        <v>0</v>
      </c>
      <c r="M34">
        <v>3.8838379893714778</v>
      </c>
      <c r="N34">
        <v>0</v>
      </c>
    </row>
    <row r="35" spans="9:14" x14ac:dyDescent="0.3">
      <c r="I35">
        <v>32</v>
      </c>
      <c r="J35">
        <v>3.2882800761378799</v>
      </c>
      <c r="K35">
        <v>0</v>
      </c>
      <c r="L35">
        <v>0</v>
      </c>
      <c r="M35">
        <v>3.2882800761378799</v>
      </c>
      <c r="N35">
        <v>0</v>
      </c>
    </row>
    <row r="36" spans="9:14" x14ac:dyDescent="0.3">
      <c r="I36">
        <v>33</v>
      </c>
      <c r="J36">
        <v>3.632597160749051</v>
      </c>
      <c r="K36">
        <v>0</v>
      </c>
      <c r="L36">
        <v>0</v>
      </c>
      <c r="M36">
        <v>3.632597160749051</v>
      </c>
      <c r="N36">
        <v>0</v>
      </c>
    </row>
    <row r="37" spans="9:14" x14ac:dyDescent="0.3">
      <c r="I37">
        <v>34</v>
      </c>
      <c r="J37">
        <v>3.0965459056891458</v>
      </c>
      <c r="K37">
        <v>1</v>
      </c>
      <c r="L37">
        <v>1.4540733713692271</v>
      </c>
      <c r="M37">
        <v>4.5506192770583729</v>
      </c>
      <c r="N37">
        <v>0</v>
      </c>
    </row>
    <row r="38" spans="9:14" x14ac:dyDescent="0.3">
      <c r="I38">
        <v>35</v>
      </c>
      <c r="J38">
        <v>2.9660730889036682</v>
      </c>
      <c r="K38">
        <v>0</v>
      </c>
      <c r="L38">
        <v>0</v>
      </c>
      <c r="M38">
        <v>2.9660730889036682</v>
      </c>
      <c r="N38">
        <v>1</v>
      </c>
    </row>
    <row r="39" spans="9:14" x14ac:dyDescent="0.3">
      <c r="I39">
        <v>36</v>
      </c>
      <c r="J39">
        <v>3.3975172371012068</v>
      </c>
      <c r="K39">
        <v>1</v>
      </c>
      <c r="L39">
        <v>1.3154569715000399</v>
      </c>
      <c r="M39">
        <v>4.7129742086012474</v>
      </c>
      <c r="N39">
        <v>0</v>
      </c>
    </row>
    <row r="40" spans="9:14" x14ac:dyDescent="0.3">
      <c r="I40">
        <v>37</v>
      </c>
      <c r="J40">
        <v>2.3016544870066231</v>
      </c>
      <c r="K40">
        <v>0</v>
      </c>
      <c r="L40">
        <v>0</v>
      </c>
      <c r="M40">
        <v>2.3016544870066231</v>
      </c>
      <c r="N40">
        <v>1</v>
      </c>
    </row>
    <row r="41" spans="9:14" x14ac:dyDescent="0.3">
      <c r="I41">
        <v>38</v>
      </c>
      <c r="J41">
        <v>2.62189862205449</v>
      </c>
      <c r="K41">
        <v>0</v>
      </c>
      <c r="L41">
        <v>0</v>
      </c>
      <c r="M41">
        <v>2.62189862205449</v>
      </c>
      <c r="N41">
        <v>1</v>
      </c>
    </row>
    <row r="42" spans="9:14" x14ac:dyDescent="0.3">
      <c r="I42">
        <v>39</v>
      </c>
      <c r="J42">
        <v>3.240178813950974</v>
      </c>
      <c r="K42">
        <v>0</v>
      </c>
      <c r="L42">
        <v>0</v>
      </c>
      <c r="M42">
        <v>3.240178813950974</v>
      </c>
      <c r="N42">
        <v>0</v>
      </c>
    </row>
    <row r="43" spans="9:14" x14ac:dyDescent="0.3">
      <c r="I43">
        <v>40</v>
      </c>
      <c r="J43">
        <v>3.02800861316623</v>
      </c>
      <c r="K43">
        <v>0</v>
      </c>
      <c r="L43">
        <v>0</v>
      </c>
      <c r="M43">
        <v>3.02800861316623</v>
      </c>
      <c r="N43">
        <v>0</v>
      </c>
    </row>
    <row r="44" spans="9:14" x14ac:dyDescent="0.3">
      <c r="I44">
        <v>41</v>
      </c>
      <c r="J44">
        <v>2.642600549442558</v>
      </c>
      <c r="K44">
        <v>0</v>
      </c>
      <c r="L44">
        <v>0</v>
      </c>
      <c r="M44">
        <v>2.642600549442558</v>
      </c>
      <c r="N44">
        <v>1</v>
      </c>
    </row>
    <row r="45" spans="9:14" x14ac:dyDescent="0.3">
      <c r="I45">
        <v>42</v>
      </c>
      <c r="J45">
        <v>3.0054370077008321</v>
      </c>
      <c r="K45">
        <v>0</v>
      </c>
      <c r="L45">
        <v>0</v>
      </c>
      <c r="M45">
        <v>3.0054370077008321</v>
      </c>
      <c r="N45">
        <v>0</v>
      </c>
    </row>
    <row r="46" spans="9:14" x14ac:dyDescent="0.3">
      <c r="I46">
        <v>43</v>
      </c>
      <c r="J46">
        <v>3.245353456830538</v>
      </c>
      <c r="K46">
        <v>0</v>
      </c>
      <c r="L46">
        <v>0</v>
      </c>
      <c r="M46">
        <v>3.245353456830538</v>
      </c>
      <c r="N46">
        <v>0</v>
      </c>
    </row>
    <row r="47" spans="9:14" x14ac:dyDescent="0.3">
      <c r="I47">
        <v>44</v>
      </c>
      <c r="J47">
        <v>3.3795260663459961</v>
      </c>
      <c r="K47">
        <v>1</v>
      </c>
      <c r="L47">
        <v>1.0006577009040429</v>
      </c>
      <c r="M47">
        <v>4.3801837672500392</v>
      </c>
      <c r="N47">
        <v>0</v>
      </c>
    </row>
    <row r="48" spans="9:14" x14ac:dyDescent="0.3">
      <c r="I48">
        <v>45</v>
      </c>
      <c r="J48">
        <v>3.0016984120361672</v>
      </c>
      <c r="K48">
        <v>0</v>
      </c>
      <c r="L48">
        <v>0</v>
      </c>
      <c r="M48">
        <v>3.0016984120361672</v>
      </c>
      <c r="N48">
        <v>0</v>
      </c>
    </row>
    <row r="49" spans="9:14" x14ac:dyDescent="0.3">
      <c r="I49">
        <v>46</v>
      </c>
      <c r="J49">
        <v>2.59802367554957</v>
      </c>
      <c r="K49">
        <v>0</v>
      </c>
      <c r="L49">
        <v>0</v>
      </c>
      <c r="M49">
        <v>2.59802367554957</v>
      </c>
      <c r="N49">
        <v>1</v>
      </c>
    </row>
    <row r="50" spans="9:14" x14ac:dyDescent="0.3">
      <c r="I50">
        <v>47</v>
      </c>
      <c r="J50">
        <v>2.2343648657364308</v>
      </c>
      <c r="K50">
        <v>0</v>
      </c>
      <c r="L50">
        <v>0</v>
      </c>
      <c r="M50">
        <v>2.2343648657364308</v>
      </c>
      <c r="N50">
        <v>1</v>
      </c>
    </row>
    <row r="51" spans="9:14" x14ac:dyDescent="0.3">
      <c r="I51">
        <v>48</v>
      </c>
      <c r="J51">
        <v>2.4775405977334422</v>
      </c>
      <c r="K51">
        <v>0</v>
      </c>
      <c r="L51">
        <v>0</v>
      </c>
      <c r="M51">
        <v>2.4775405977334422</v>
      </c>
      <c r="N51">
        <v>1</v>
      </c>
    </row>
    <row r="52" spans="9:14" x14ac:dyDescent="0.3">
      <c r="I52">
        <v>49</v>
      </c>
      <c r="J52">
        <v>3.0317018656776118</v>
      </c>
      <c r="K52">
        <v>0</v>
      </c>
      <c r="L52">
        <v>0</v>
      </c>
      <c r="M52">
        <v>3.0317018656776118</v>
      </c>
      <c r="N52">
        <v>0</v>
      </c>
    </row>
    <row r="53" spans="9:14" x14ac:dyDescent="0.3">
      <c r="I53">
        <v>50</v>
      </c>
      <c r="J53">
        <v>2.6571569108265618</v>
      </c>
      <c r="K53">
        <v>0</v>
      </c>
      <c r="L53">
        <v>0</v>
      </c>
      <c r="M53">
        <v>2.6571569108265618</v>
      </c>
      <c r="N53">
        <v>1</v>
      </c>
    </row>
    <row r="54" spans="9:14" x14ac:dyDescent="0.3">
      <c r="I54">
        <v>51</v>
      </c>
      <c r="J54">
        <v>3.554173972852857</v>
      </c>
      <c r="K54">
        <v>0</v>
      </c>
      <c r="L54">
        <v>0</v>
      </c>
      <c r="M54">
        <v>3.554173972852857</v>
      </c>
      <c r="N54">
        <v>0</v>
      </c>
    </row>
    <row r="55" spans="9:14" x14ac:dyDescent="0.3">
      <c r="I55">
        <v>52</v>
      </c>
      <c r="J55">
        <v>3.494573728704879</v>
      </c>
      <c r="K55">
        <v>0</v>
      </c>
      <c r="L55">
        <v>0</v>
      </c>
      <c r="M55">
        <v>3.494573728704879</v>
      </c>
      <c r="N55">
        <v>0</v>
      </c>
    </row>
    <row r="56" spans="9:14" x14ac:dyDescent="0.3">
      <c r="I56">
        <v>53</v>
      </c>
      <c r="J56">
        <v>2.9368586786702799</v>
      </c>
      <c r="K56">
        <v>0</v>
      </c>
      <c r="L56">
        <v>0</v>
      </c>
      <c r="M56">
        <v>2.9368586786702799</v>
      </c>
      <c r="N56">
        <v>1</v>
      </c>
    </row>
    <row r="57" spans="9:14" x14ac:dyDescent="0.3">
      <c r="I57">
        <v>54</v>
      </c>
      <c r="J57">
        <v>2.7781816525800469</v>
      </c>
      <c r="K57">
        <v>0</v>
      </c>
      <c r="L57">
        <v>0</v>
      </c>
      <c r="M57">
        <v>2.7781816525800469</v>
      </c>
      <c r="N57">
        <v>1</v>
      </c>
    </row>
    <row r="58" spans="9:14" x14ac:dyDescent="0.3">
      <c r="I58">
        <v>55</v>
      </c>
      <c r="J58">
        <v>2.913506120415124</v>
      </c>
      <c r="K58">
        <v>0</v>
      </c>
      <c r="L58">
        <v>0</v>
      </c>
      <c r="M58">
        <v>2.913506120415124</v>
      </c>
      <c r="N58">
        <v>1</v>
      </c>
    </row>
    <row r="59" spans="9:14" x14ac:dyDescent="0.3">
      <c r="I59">
        <v>56</v>
      </c>
      <c r="J59">
        <v>2.412692842061142</v>
      </c>
      <c r="K59">
        <v>0</v>
      </c>
      <c r="L59">
        <v>0</v>
      </c>
      <c r="M59">
        <v>2.412692842061142</v>
      </c>
      <c r="N59">
        <v>1</v>
      </c>
    </row>
    <row r="60" spans="9:14" x14ac:dyDescent="0.3">
      <c r="I60">
        <v>57</v>
      </c>
      <c r="J60">
        <v>2.6525600851729512</v>
      </c>
      <c r="K60">
        <v>0</v>
      </c>
      <c r="L60">
        <v>0</v>
      </c>
      <c r="M60">
        <v>2.6525600851729512</v>
      </c>
      <c r="N60">
        <v>1</v>
      </c>
    </row>
    <row r="61" spans="9:14" x14ac:dyDescent="0.3">
      <c r="I61">
        <v>58</v>
      </c>
      <c r="J61">
        <v>2.8379797714682922</v>
      </c>
      <c r="K61">
        <v>0</v>
      </c>
      <c r="L61">
        <v>0</v>
      </c>
      <c r="M61">
        <v>2.8379797714682922</v>
      </c>
      <c r="N61">
        <v>1</v>
      </c>
    </row>
    <row r="62" spans="9:14" x14ac:dyDescent="0.3">
      <c r="I62">
        <v>59</v>
      </c>
      <c r="J62">
        <v>3.1765257647959202</v>
      </c>
      <c r="K62">
        <v>0</v>
      </c>
      <c r="L62">
        <v>0</v>
      </c>
      <c r="M62">
        <v>3.1765257647959202</v>
      </c>
      <c r="N62">
        <v>0</v>
      </c>
    </row>
    <row r="63" spans="9:14" x14ac:dyDescent="0.3">
      <c r="I63">
        <v>60</v>
      </c>
      <c r="J63">
        <v>3.6316651877194359</v>
      </c>
      <c r="K63">
        <v>0</v>
      </c>
      <c r="L63">
        <v>0</v>
      </c>
      <c r="M63">
        <v>3.6316651877194359</v>
      </c>
      <c r="N63">
        <v>0</v>
      </c>
    </row>
    <row r="64" spans="9:14" x14ac:dyDescent="0.3">
      <c r="I64">
        <v>61</v>
      </c>
      <c r="J64">
        <v>2.802830945188969</v>
      </c>
      <c r="K64">
        <v>0</v>
      </c>
      <c r="L64">
        <v>0</v>
      </c>
      <c r="M64">
        <v>2.802830945188969</v>
      </c>
      <c r="N64">
        <v>1</v>
      </c>
    </row>
    <row r="65" spans="9:14" x14ac:dyDescent="0.3">
      <c r="I65">
        <v>62</v>
      </c>
      <c r="J65">
        <v>2.6121141361758951</v>
      </c>
      <c r="K65">
        <v>0</v>
      </c>
      <c r="L65">
        <v>0</v>
      </c>
      <c r="M65">
        <v>2.6121141361758951</v>
      </c>
      <c r="N65">
        <v>1</v>
      </c>
    </row>
    <row r="66" spans="9:14" x14ac:dyDescent="0.3">
      <c r="I66">
        <v>63</v>
      </c>
      <c r="J66">
        <v>2.5122666248224488</v>
      </c>
      <c r="K66">
        <v>0</v>
      </c>
      <c r="L66">
        <v>0</v>
      </c>
      <c r="M66">
        <v>2.5122666248224488</v>
      </c>
      <c r="N66">
        <v>1</v>
      </c>
    </row>
    <row r="67" spans="9:14" x14ac:dyDescent="0.3">
      <c r="I67">
        <v>64</v>
      </c>
      <c r="J67">
        <v>3.3059747015937422</v>
      </c>
      <c r="K67">
        <v>0</v>
      </c>
      <c r="L67">
        <v>0</v>
      </c>
      <c r="M67">
        <v>3.3059747015937422</v>
      </c>
      <c r="N67">
        <v>0</v>
      </c>
    </row>
    <row r="68" spans="9:14" x14ac:dyDescent="0.3">
      <c r="I68">
        <v>65</v>
      </c>
      <c r="J68">
        <v>2.866109267946745</v>
      </c>
      <c r="K68">
        <v>0</v>
      </c>
      <c r="L68">
        <v>0</v>
      </c>
      <c r="M68">
        <v>2.866109267946745</v>
      </c>
      <c r="N68">
        <v>1</v>
      </c>
    </row>
    <row r="69" spans="9:14" x14ac:dyDescent="0.3">
      <c r="I69">
        <v>66</v>
      </c>
      <c r="J69">
        <v>3.3164811999945392</v>
      </c>
      <c r="K69">
        <v>0</v>
      </c>
      <c r="L69">
        <v>0</v>
      </c>
      <c r="M69">
        <v>3.3164811999945392</v>
      </c>
      <c r="N69">
        <v>0</v>
      </c>
    </row>
    <row r="70" spans="9:14" x14ac:dyDescent="0.3">
      <c r="I70">
        <v>67</v>
      </c>
      <c r="J70">
        <v>2.7474907673011502</v>
      </c>
      <c r="K70">
        <v>1</v>
      </c>
      <c r="L70">
        <v>1.324955373536248</v>
      </c>
      <c r="M70">
        <v>4.072446140837398</v>
      </c>
      <c r="N70">
        <v>0</v>
      </c>
    </row>
    <row r="71" spans="9:14" x14ac:dyDescent="0.3">
      <c r="I71">
        <v>68</v>
      </c>
      <c r="J71">
        <v>3.1642913794602072</v>
      </c>
      <c r="K71">
        <v>0</v>
      </c>
      <c r="L71">
        <v>0</v>
      </c>
      <c r="M71">
        <v>3.1642913794602072</v>
      </c>
      <c r="N71">
        <v>0</v>
      </c>
    </row>
    <row r="72" spans="9:14" x14ac:dyDescent="0.3">
      <c r="I72">
        <v>69</v>
      </c>
      <c r="J72">
        <v>3.265889823123989</v>
      </c>
      <c r="K72">
        <v>0</v>
      </c>
      <c r="L72">
        <v>0</v>
      </c>
      <c r="M72">
        <v>3.265889823123989</v>
      </c>
      <c r="N72">
        <v>0</v>
      </c>
    </row>
    <row r="73" spans="9:14" x14ac:dyDescent="0.3">
      <c r="I73">
        <v>70</v>
      </c>
      <c r="J73">
        <v>2.5262582505580942</v>
      </c>
      <c r="K73">
        <v>0</v>
      </c>
      <c r="L73">
        <v>0</v>
      </c>
      <c r="M73">
        <v>2.5262582505580942</v>
      </c>
      <c r="N73">
        <v>1</v>
      </c>
    </row>
    <row r="74" spans="9:14" x14ac:dyDescent="0.3">
      <c r="I74">
        <v>71</v>
      </c>
      <c r="J74">
        <v>2.704987337545981</v>
      </c>
      <c r="K74">
        <v>1</v>
      </c>
      <c r="L74">
        <v>1.7394433939718319</v>
      </c>
      <c r="M74">
        <v>4.444430731517814</v>
      </c>
      <c r="N74">
        <v>0</v>
      </c>
    </row>
    <row r="75" spans="9:14" x14ac:dyDescent="0.3">
      <c r="I75">
        <v>72</v>
      </c>
      <c r="J75">
        <v>2.5895600280517321</v>
      </c>
      <c r="K75">
        <v>0</v>
      </c>
      <c r="L75">
        <v>0</v>
      </c>
      <c r="M75">
        <v>2.5895600280517321</v>
      </c>
      <c r="N75">
        <v>1</v>
      </c>
    </row>
    <row r="76" spans="9:14" x14ac:dyDescent="0.3">
      <c r="I76">
        <v>73</v>
      </c>
      <c r="J76">
        <v>2.610297645747663</v>
      </c>
      <c r="K76">
        <v>0</v>
      </c>
      <c r="L76">
        <v>0</v>
      </c>
      <c r="M76">
        <v>2.610297645747663</v>
      </c>
      <c r="N76">
        <v>1</v>
      </c>
    </row>
    <row r="77" spans="9:14" x14ac:dyDescent="0.3">
      <c r="I77">
        <v>74</v>
      </c>
      <c r="J77">
        <v>3.2694269626503858</v>
      </c>
      <c r="K77">
        <v>0</v>
      </c>
      <c r="L77">
        <v>0</v>
      </c>
      <c r="M77">
        <v>3.2694269626503858</v>
      </c>
      <c r="N77">
        <v>0</v>
      </c>
    </row>
    <row r="78" spans="9:14" x14ac:dyDescent="0.3">
      <c r="I78">
        <v>75</v>
      </c>
      <c r="J78">
        <v>3.015279428278181</v>
      </c>
      <c r="K78">
        <v>1</v>
      </c>
      <c r="L78">
        <v>1.5968170259328389</v>
      </c>
      <c r="M78">
        <v>4.6120964542110201</v>
      </c>
      <c r="N78">
        <v>0</v>
      </c>
    </row>
    <row r="79" spans="9:14" x14ac:dyDescent="0.3">
      <c r="I79">
        <v>76</v>
      </c>
      <c r="J79">
        <v>2.6419474242792722</v>
      </c>
      <c r="K79">
        <v>0</v>
      </c>
      <c r="L79">
        <v>0</v>
      </c>
      <c r="M79">
        <v>2.6419474242792722</v>
      </c>
      <c r="N79">
        <v>1</v>
      </c>
    </row>
    <row r="80" spans="9:14" x14ac:dyDescent="0.3">
      <c r="I80">
        <v>77</v>
      </c>
      <c r="J80">
        <v>3.7765732597422259</v>
      </c>
      <c r="K80">
        <v>0</v>
      </c>
      <c r="L80">
        <v>0</v>
      </c>
      <c r="M80">
        <v>3.7765732597422259</v>
      </c>
      <c r="N80">
        <v>0</v>
      </c>
    </row>
    <row r="81" spans="9:14" x14ac:dyDescent="0.3">
      <c r="I81">
        <v>78</v>
      </c>
      <c r="J81">
        <v>3.665684564312639</v>
      </c>
      <c r="K81">
        <v>0</v>
      </c>
      <c r="L81">
        <v>0</v>
      </c>
      <c r="M81">
        <v>3.665684564312639</v>
      </c>
      <c r="N81">
        <v>0</v>
      </c>
    </row>
    <row r="82" spans="9:14" x14ac:dyDescent="0.3">
      <c r="I82">
        <v>79</v>
      </c>
      <c r="J82">
        <v>3.1056482086107149</v>
      </c>
      <c r="K82">
        <v>0</v>
      </c>
      <c r="L82">
        <v>0</v>
      </c>
      <c r="M82">
        <v>3.1056482086107149</v>
      </c>
      <c r="N82">
        <v>0</v>
      </c>
    </row>
    <row r="83" spans="9:14" x14ac:dyDescent="0.3">
      <c r="I83">
        <v>80</v>
      </c>
      <c r="J83">
        <v>3.068189810808541</v>
      </c>
      <c r="K83">
        <v>0</v>
      </c>
      <c r="L83">
        <v>0</v>
      </c>
      <c r="M83">
        <v>3.068189810808541</v>
      </c>
      <c r="N83">
        <v>0</v>
      </c>
    </row>
    <row r="84" spans="9:14" x14ac:dyDescent="0.3">
      <c r="I84">
        <v>81</v>
      </c>
      <c r="J84">
        <v>3.178003126979327</v>
      </c>
      <c r="K84">
        <v>0</v>
      </c>
      <c r="L84">
        <v>0</v>
      </c>
      <c r="M84">
        <v>3.178003126979327</v>
      </c>
      <c r="N84">
        <v>0</v>
      </c>
    </row>
    <row r="85" spans="9:14" x14ac:dyDescent="0.3">
      <c r="I85">
        <v>82</v>
      </c>
      <c r="J85">
        <v>3.1863233214466509</v>
      </c>
      <c r="K85">
        <v>0</v>
      </c>
      <c r="L85">
        <v>0</v>
      </c>
      <c r="M85">
        <v>3.1863233214466509</v>
      </c>
      <c r="N85">
        <v>0</v>
      </c>
    </row>
    <row r="86" spans="9:14" x14ac:dyDescent="0.3">
      <c r="I86">
        <v>83</v>
      </c>
      <c r="J86">
        <v>2.7004931929951388</v>
      </c>
      <c r="K86">
        <v>0</v>
      </c>
      <c r="L86">
        <v>0</v>
      </c>
      <c r="M86">
        <v>2.7004931929951388</v>
      </c>
      <c r="N86">
        <v>1</v>
      </c>
    </row>
    <row r="87" spans="9:14" x14ac:dyDescent="0.3">
      <c r="I87">
        <v>84</v>
      </c>
      <c r="J87">
        <v>3.021353001050926</v>
      </c>
      <c r="K87">
        <v>0</v>
      </c>
      <c r="L87">
        <v>0</v>
      </c>
      <c r="M87">
        <v>3.021353001050926</v>
      </c>
      <c r="N87">
        <v>0</v>
      </c>
    </row>
    <row r="88" spans="9:14" x14ac:dyDescent="0.3">
      <c r="I88">
        <v>85</v>
      </c>
      <c r="J88">
        <v>2.4990616177867229</v>
      </c>
      <c r="K88">
        <v>0</v>
      </c>
      <c r="L88">
        <v>0</v>
      </c>
      <c r="M88">
        <v>2.4990616177867229</v>
      </c>
      <c r="N88">
        <v>1</v>
      </c>
    </row>
    <row r="89" spans="9:14" x14ac:dyDescent="0.3">
      <c r="I89">
        <v>86</v>
      </c>
      <c r="J89">
        <v>3.085616362913429</v>
      </c>
      <c r="K89">
        <v>0</v>
      </c>
      <c r="L89">
        <v>0</v>
      </c>
      <c r="M89">
        <v>3.085616362913429</v>
      </c>
      <c r="N89">
        <v>0</v>
      </c>
    </row>
    <row r="90" spans="9:14" x14ac:dyDescent="0.3">
      <c r="I90">
        <v>87</v>
      </c>
      <c r="J90">
        <v>2.8350062927644348</v>
      </c>
      <c r="K90">
        <v>0</v>
      </c>
      <c r="L90">
        <v>0</v>
      </c>
      <c r="M90">
        <v>2.8350062927644348</v>
      </c>
      <c r="N90">
        <v>1</v>
      </c>
    </row>
    <row r="91" spans="9:14" x14ac:dyDescent="0.3">
      <c r="I91">
        <v>88</v>
      </c>
      <c r="J91">
        <v>2.8764061846437592</v>
      </c>
      <c r="K91">
        <v>0</v>
      </c>
      <c r="L91">
        <v>0</v>
      </c>
      <c r="M91">
        <v>2.8764061846437592</v>
      </c>
      <c r="N91">
        <v>1</v>
      </c>
    </row>
    <row r="92" spans="9:14" x14ac:dyDescent="0.3">
      <c r="I92">
        <v>89</v>
      </c>
      <c r="J92">
        <v>3.1665824680216468</v>
      </c>
      <c r="K92">
        <v>0</v>
      </c>
      <c r="L92">
        <v>0</v>
      </c>
      <c r="M92">
        <v>3.1665824680216468</v>
      </c>
      <c r="N92">
        <v>0</v>
      </c>
    </row>
    <row r="93" spans="9:14" x14ac:dyDescent="0.3">
      <c r="I93">
        <v>90</v>
      </c>
      <c r="J93">
        <v>3.4420894108549001</v>
      </c>
      <c r="K93">
        <v>0</v>
      </c>
      <c r="L93">
        <v>0</v>
      </c>
      <c r="M93">
        <v>3.4420894108549001</v>
      </c>
      <c r="N93">
        <v>0</v>
      </c>
    </row>
    <row r="94" spans="9:14" x14ac:dyDescent="0.3">
      <c r="I94">
        <v>91</v>
      </c>
      <c r="J94">
        <v>2.954383347576512</v>
      </c>
      <c r="K94">
        <v>0</v>
      </c>
      <c r="L94">
        <v>0</v>
      </c>
      <c r="M94">
        <v>2.954383347576512</v>
      </c>
      <c r="N94">
        <v>1</v>
      </c>
    </row>
    <row r="95" spans="9:14" x14ac:dyDescent="0.3">
      <c r="I95">
        <v>92</v>
      </c>
      <c r="J95">
        <v>2.6562381566451601</v>
      </c>
      <c r="K95">
        <v>0</v>
      </c>
      <c r="L95">
        <v>0</v>
      </c>
      <c r="M95">
        <v>2.6562381566451601</v>
      </c>
      <c r="N95">
        <v>1</v>
      </c>
    </row>
    <row r="96" spans="9:14" x14ac:dyDescent="0.3">
      <c r="I96">
        <v>93</v>
      </c>
      <c r="J96">
        <v>2.411218355493399</v>
      </c>
      <c r="K96">
        <v>0</v>
      </c>
      <c r="L96">
        <v>0</v>
      </c>
      <c r="M96">
        <v>2.411218355493399</v>
      </c>
      <c r="N96">
        <v>1</v>
      </c>
    </row>
    <row r="97" spans="9:14" x14ac:dyDescent="0.3">
      <c r="I97">
        <v>94</v>
      </c>
      <c r="J97">
        <v>2.6490467988542519</v>
      </c>
      <c r="K97">
        <v>0</v>
      </c>
      <c r="L97">
        <v>0</v>
      </c>
      <c r="M97">
        <v>2.6490467988542519</v>
      </c>
      <c r="N97">
        <v>1</v>
      </c>
    </row>
    <row r="98" spans="9:14" x14ac:dyDescent="0.3">
      <c r="I98">
        <v>95</v>
      </c>
      <c r="J98">
        <v>2.7801083550980792</v>
      </c>
      <c r="K98">
        <v>0</v>
      </c>
      <c r="L98">
        <v>0</v>
      </c>
      <c r="M98">
        <v>2.7801083550980792</v>
      </c>
      <c r="N98">
        <v>1</v>
      </c>
    </row>
    <row r="99" spans="9:14" x14ac:dyDescent="0.3">
      <c r="I99">
        <v>96</v>
      </c>
      <c r="J99">
        <v>2.6830653694649471</v>
      </c>
      <c r="K99">
        <v>0</v>
      </c>
      <c r="L99">
        <v>0</v>
      </c>
      <c r="M99">
        <v>2.6830653694649471</v>
      </c>
      <c r="N99">
        <v>1</v>
      </c>
    </row>
    <row r="100" spans="9:14" x14ac:dyDescent="0.3">
      <c r="I100">
        <v>97</v>
      </c>
      <c r="J100">
        <v>3.7056782133460491</v>
      </c>
      <c r="K100">
        <v>0</v>
      </c>
      <c r="L100">
        <v>0</v>
      </c>
      <c r="M100">
        <v>3.7056782133460491</v>
      </c>
      <c r="N100">
        <v>0</v>
      </c>
    </row>
    <row r="101" spans="9:14" x14ac:dyDescent="0.3">
      <c r="I101">
        <v>98</v>
      </c>
      <c r="J101">
        <v>2.7694365574947861</v>
      </c>
      <c r="K101">
        <v>0</v>
      </c>
      <c r="L101">
        <v>0</v>
      </c>
      <c r="M101">
        <v>2.7694365574947861</v>
      </c>
      <c r="N101">
        <v>1</v>
      </c>
    </row>
    <row r="102" spans="9:14" x14ac:dyDescent="0.3">
      <c r="I102">
        <v>99</v>
      </c>
      <c r="J102">
        <v>3.3133336557113271</v>
      </c>
      <c r="K102">
        <v>0</v>
      </c>
      <c r="L102">
        <v>0</v>
      </c>
      <c r="M102">
        <v>3.3133336557113271</v>
      </c>
      <c r="N102">
        <v>0</v>
      </c>
    </row>
    <row r="103" spans="9:14" x14ac:dyDescent="0.3">
      <c r="I103">
        <v>100</v>
      </c>
      <c r="J103">
        <v>2.8680563547604518</v>
      </c>
      <c r="K103">
        <v>0</v>
      </c>
      <c r="L103">
        <v>0</v>
      </c>
      <c r="M103">
        <v>2.8680563547604518</v>
      </c>
      <c r="N103">
        <v>1</v>
      </c>
    </row>
    <row r="104" spans="9:14" x14ac:dyDescent="0.3">
      <c r="I104">
        <v>101</v>
      </c>
      <c r="J104">
        <v>2.9529887187984252</v>
      </c>
      <c r="K104">
        <v>0</v>
      </c>
      <c r="L104">
        <v>0</v>
      </c>
      <c r="M104">
        <v>2.9529887187984252</v>
      </c>
      <c r="N104">
        <v>1</v>
      </c>
    </row>
    <row r="105" spans="9:14" x14ac:dyDescent="0.3">
      <c r="I105">
        <v>102</v>
      </c>
      <c r="J105">
        <v>2.5621781287078012</v>
      </c>
      <c r="K105">
        <v>0</v>
      </c>
      <c r="L105">
        <v>0</v>
      </c>
      <c r="M105">
        <v>2.5621781287078012</v>
      </c>
      <c r="N105">
        <v>1</v>
      </c>
    </row>
    <row r="106" spans="9:14" x14ac:dyDescent="0.3">
      <c r="I106">
        <v>103</v>
      </c>
      <c r="J106">
        <v>2.490291330014236</v>
      </c>
      <c r="K106">
        <v>0</v>
      </c>
      <c r="L106">
        <v>0</v>
      </c>
      <c r="M106">
        <v>2.490291330014236</v>
      </c>
      <c r="N106">
        <v>1</v>
      </c>
    </row>
    <row r="107" spans="9:14" x14ac:dyDescent="0.3">
      <c r="I107">
        <v>104</v>
      </c>
      <c r="J107">
        <v>3.0021524150334291</v>
      </c>
      <c r="K107">
        <v>0</v>
      </c>
      <c r="L107">
        <v>0</v>
      </c>
      <c r="M107">
        <v>3.0021524150334291</v>
      </c>
      <c r="N107">
        <v>0</v>
      </c>
    </row>
    <row r="108" spans="9:14" x14ac:dyDescent="0.3">
      <c r="I108">
        <v>105</v>
      </c>
      <c r="J108">
        <v>3.6270642792775241</v>
      </c>
      <c r="K108">
        <v>0</v>
      </c>
      <c r="L108">
        <v>0</v>
      </c>
      <c r="M108">
        <v>3.6270642792775241</v>
      </c>
      <c r="N108">
        <v>0</v>
      </c>
    </row>
    <row r="109" spans="9:14" x14ac:dyDescent="0.3">
      <c r="I109">
        <v>106</v>
      </c>
      <c r="J109">
        <v>2.7041132357094941</v>
      </c>
      <c r="K109">
        <v>0</v>
      </c>
      <c r="L109">
        <v>0</v>
      </c>
      <c r="M109">
        <v>2.7041132357094941</v>
      </c>
      <c r="N109">
        <v>1</v>
      </c>
    </row>
    <row r="110" spans="9:14" x14ac:dyDescent="0.3">
      <c r="I110">
        <v>107</v>
      </c>
      <c r="J110">
        <v>3.1574803975294241</v>
      </c>
      <c r="K110">
        <v>0</v>
      </c>
      <c r="L110">
        <v>0</v>
      </c>
      <c r="M110">
        <v>3.1574803975294241</v>
      </c>
      <c r="N110">
        <v>0</v>
      </c>
    </row>
    <row r="111" spans="9:14" x14ac:dyDescent="0.3">
      <c r="I111">
        <v>108</v>
      </c>
      <c r="J111">
        <v>2.926429870937886</v>
      </c>
      <c r="K111">
        <v>0</v>
      </c>
      <c r="L111">
        <v>0</v>
      </c>
      <c r="M111">
        <v>2.926429870937886</v>
      </c>
      <c r="N111">
        <v>1</v>
      </c>
    </row>
    <row r="112" spans="9:14" x14ac:dyDescent="0.3">
      <c r="I112">
        <v>109</v>
      </c>
      <c r="J112">
        <v>3.023932651556664</v>
      </c>
      <c r="K112">
        <v>0</v>
      </c>
      <c r="L112">
        <v>0</v>
      </c>
      <c r="M112">
        <v>3.023932651556664</v>
      </c>
      <c r="N112">
        <v>0</v>
      </c>
    </row>
    <row r="113" spans="9:14" x14ac:dyDescent="0.3">
      <c r="I113">
        <v>110</v>
      </c>
      <c r="J113">
        <v>2.982361804335111</v>
      </c>
      <c r="K113">
        <v>0</v>
      </c>
      <c r="L113">
        <v>0</v>
      </c>
      <c r="M113">
        <v>2.982361804335111</v>
      </c>
      <c r="N113">
        <v>1</v>
      </c>
    </row>
    <row r="114" spans="9:14" x14ac:dyDescent="0.3">
      <c r="I114">
        <v>111</v>
      </c>
      <c r="J114">
        <v>3.1312137295378979</v>
      </c>
      <c r="K114">
        <v>0</v>
      </c>
      <c r="L114">
        <v>0</v>
      </c>
      <c r="M114">
        <v>3.1312137295378979</v>
      </c>
      <c r="N114">
        <v>0</v>
      </c>
    </row>
    <row r="115" spans="9:14" x14ac:dyDescent="0.3">
      <c r="I115">
        <v>112</v>
      </c>
      <c r="J115">
        <v>3.1631675429235839</v>
      </c>
      <c r="K115">
        <v>0</v>
      </c>
      <c r="L115">
        <v>0</v>
      </c>
      <c r="M115">
        <v>3.1631675429235839</v>
      </c>
      <c r="N115">
        <v>0</v>
      </c>
    </row>
    <row r="116" spans="9:14" x14ac:dyDescent="0.3">
      <c r="I116">
        <v>113</v>
      </c>
      <c r="J116">
        <v>2.5546217095630301</v>
      </c>
      <c r="K116">
        <v>0</v>
      </c>
      <c r="L116">
        <v>0</v>
      </c>
      <c r="M116">
        <v>2.5546217095630301</v>
      </c>
      <c r="N116">
        <v>1</v>
      </c>
    </row>
    <row r="117" spans="9:14" x14ac:dyDescent="0.3">
      <c r="I117">
        <v>114</v>
      </c>
      <c r="J117">
        <v>3.2929544833256559</v>
      </c>
      <c r="K117">
        <v>0</v>
      </c>
      <c r="L117">
        <v>0</v>
      </c>
      <c r="M117">
        <v>3.2929544833256559</v>
      </c>
      <c r="N117">
        <v>0</v>
      </c>
    </row>
    <row r="118" spans="9:14" x14ac:dyDescent="0.3">
      <c r="I118">
        <v>115</v>
      </c>
      <c r="J118">
        <v>2.8576321976245338</v>
      </c>
      <c r="K118">
        <v>0</v>
      </c>
      <c r="L118">
        <v>0</v>
      </c>
      <c r="M118">
        <v>2.8576321976245338</v>
      </c>
      <c r="N118">
        <v>1</v>
      </c>
    </row>
    <row r="119" spans="9:14" x14ac:dyDescent="0.3">
      <c r="I119">
        <v>116</v>
      </c>
      <c r="J119">
        <v>3.005901607564478</v>
      </c>
      <c r="K119">
        <v>0</v>
      </c>
      <c r="L119">
        <v>0</v>
      </c>
      <c r="M119">
        <v>3.005901607564478</v>
      </c>
      <c r="N119">
        <v>0</v>
      </c>
    </row>
    <row r="120" spans="9:14" x14ac:dyDescent="0.3">
      <c r="I120">
        <v>117</v>
      </c>
      <c r="J120">
        <v>3.1931481028386122</v>
      </c>
      <c r="K120">
        <v>0</v>
      </c>
      <c r="L120">
        <v>0</v>
      </c>
      <c r="M120">
        <v>3.1931481028386122</v>
      </c>
      <c r="N120">
        <v>0</v>
      </c>
    </row>
    <row r="121" spans="9:14" x14ac:dyDescent="0.3">
      <c r="I121">
        <v>118</v>
      </c>
      <c r="J121">
        <v>3.3510868661749682</v>
      </c>
      <c r="K121">
        <v>0</v>
      </c>
      <c r="L121">
        <v>0</v>
      </c>
      <c r="M121">
        <v>3.3510868661749682</v>
      </c>
      <c r="N121">
        <v>0</v>
      </c>
    </row>
    <row r="122" spans="9:14" x14ac:dyDescent="0.3">
      <c r="I122">
        <v>119</v>
      </c>
      <c r="J122">
        <v>2.578597531142468</v>
      </c>
      <c r="K122">
        <v>0</v>
      </c>
      <c r="L122">
        <v>0</v>
      </c>
      <c r="M122">
        <v>2.578597531142468</v>
      </c>
      <c r="N122">
        <v>1</v>
      </c>
    </row>
    <row r="123" spans="9:14" x14ac:dyDescent="0.3">
      <c r="I123">
        <v>120</v>
      </c>
      <c r="J123">
        <v>2.5666778399481691</v>
      </c>
      <c r="K123">
        <v>0</v>
      </c>
      <c r="L123">
        <v>0</v>
      </c>
      <c r="M123">
        <v>2.5666778399481691</v>
      </c>
      <c r="N123">
        <v>1</v>
      </c>
    </row>
    <row r="124" spans="9:14" x14ac:dyDescent="0.3">
      <c r="I124">
        <v>121</v>
      </c>
      <c r="J124">
        <v>2.9337639384882919</v>
      </c>
      <c r="K124">
        <v>1</v>
      </c>
      <c r="L124">
        <v>1.008741076598703</v>
      </c>
      <c r="M124">
        <v>3.9425050150869958</v>
      </c>
      <c r="N124">
        <v>0</v>
      </c>
    </row>
    <row r="125" spans="9:14" x14ac:dyDescent="0.3">
      <c r="I125">
        <v>122</v>
      </c>
      <c r="J125">
        <v>3.1590245547897351</v>
      </c>
      <c r="K125">
        <v>1</v>
      </c>
      <c r="L125">
        <v>1.0649483953364189</v>
      </c>
      <c r="M125">
        <v>4.2239729501261536</v>
      </c>
      <c r="N125">
        <v>0</v>
      </c>
    </row>
    <row r="126" spans="9:14" x14ac:dyDescent="0.3">
      <c r="I126">
        <v>123</v>
      </c>
      <c r="J126">
        <v>2.660130109781397</v>
      </c>
      <c r="K126">
        <v>0</v>
      </c>
      <c r="L126">
        <v>0</v>
      </c>
      <c r="M126">
        <v>2.660130109781397</v>
      </c>
      <c r="N126">
        <v>1</v>
      </c>
    </row>
    <row r="127" spans="9:14" x14ac:dyDescent="0.3">
      <c r="I127">
        <v>124</v>
      </c>
      <c r="J127">
        <v>3.0429570190070492</v>
      </c>
      <c r="K127">
        <v>0</v>
      </c>
      <c r="L127">
        <v>0</v>
      </c>
      <c r="M127">
        <v>3.0429570190070492</v>
      </c>
      <c r="N127">
        <v>0</v>
      </c>
    </row>
    <row r="128" spans="9:14" x14ac:dyDescent="0.3">
      <c r="I128">
        <v>125</v>
      </c>
      <c r="J128">
        <v>2.570460353278869</v>
      </c>
      <c r="K128">
        <v>0</v>
      </c>
      <c r="L128">
        <v>0</v>
      </c>
      <c r="M128">
        <v>2.570460353278869</v>
      </c>
      <c r="N128">
        <v>1</v>
      </c>
    </row>
    <row r="129" spans="9:14" x14ac:dyDescent="0.3">
      <c r="I129">
        <v>126</v>
      </c>
      <c r="J129">
        <v>3.3302615925713219</v>
      </c>
      <c r="K129">
        <v>0</v>
      </c>
      <c r="L129">
        <v>0</v>
      </c>
      <c r="M129">
        <v>3.3302615925713219</v>
      </c>
      <c r="N129">
        <v>0</v>
      </c>
    </row>
    <row r="130" spans="9:14" x14ac:dyDescent="0.3">
      <c r="I130">
        <v>127</v>
      </c>
      <c r="J130">
        <v>3.3782501366367699</v>
      </c>
      <c r="K130">
        <v>0</v>
      </c>
      <c r="L130">
        <v>0</v>
      </c>
      <c r="M130">
        <v>3.3782501366367699</v>
      </c>
      <c r="N130">
        <v>0</v>
      </c>
    </row>
    <row r="131" spans="9:14" x14ac:dyDescent="0.3">
      <c r="I131">
        <v>128</v>
      </c>
      <c r="J131">
        <v>2.8933495867360719</v>
      </c>
      <c r="K131">
        <v>0</v>
      </c>
      <c r="L131">
        <v>0</v>
      </c>
      <c r="M131">
        <v>2.8933495867360719</v>
      </c>
      <c r="N131">
        <v>1</v>
      </c>
    </row>
    <row r="132" spans="9:14" x14ac:dyDescent="0.3">
      <c r="I132">
        <v>129</v>
      </c>
      <c r="J132">
        <v>2.6397679533738061</v>
      </c>
      <c r="K132">
        <v>0</v>
      </c>
      <c r="L132">
        <v>0</v>
      </c>
      <c r="M132">
        <v>2.6397679533738061</v>
      </c>
      <c r="N132">
        <v>1</v>
      </c>
    </row>
    <row r="133" spans="9:14" x14ac:dyDescent="0.3">
      <c r="I133">
        <v>130</v>
      </c>
      <c r="J133">
        <v>2.939330848300326</v>
      </c>
      <c r="K133">
        <v>0</v>
      </c>
      <c r="L133">
        <v>0</v>
      </c>
      <c r="M133">
        <v>2.939330848300326</v>
      </c>
      <c r="N133">
        <v>1</v>
      </c>
    </row>
    <row r="134" spans="9:14" x14ac:dyDescent="0.3">
      <c r="I134">
        <v>131</v>
      </c>
      <c r="J134">
        <v>3.400137910030713</v>
      </c>
      <c r="K134">
        <v>0</v>
      </c>
      <c r="L134">
        <v>0</v>
      </c>
      <c r="M134">
        <v>3.400137910030713</v>
      </c>
      <c r="N134">
        <v>0</v>
      </c>
    </row>
    <row r="135" spans="9:14" x14ac:dyDescent="0.3">
      <c r="I135">
        <v>132</v>
      </c>
      <c r="J135">
        <v>2.635688936976758</v>
      </c>
      <c r="K135">
        <v>0</v>
      </c>
      <c r="L135">
        <v>0</v>
      </c>
      <c r="M135">
        <v>2.635688936976758</v>
      </c>
      <c r="N135">
        <v>1</v>
      </c>
    </row>
    <row r="136" spans="9:14" x14ac:dyDescent="0.3">
      <c r="I136">
        <v>133</v>
      </c>
      <c r="J136">
        <v>3.2693453252019631</v>
      </c>
      <c r="K136">
        <v>0</v>
      </c>
      <c r="L136">
        <v>0</v>
      </c>
      <c r="M136">
        <v>3.2693453252019631</v>
      </c>
      <c r="N136">
        <v>0</v>
      </c>
    </row>
    <row r="137" spans="9:14" x14ac:dyDescent="0.3">
      <c r="I137">
        <v>134</v>
      </c>
      <c r="J137">
        <v>2.533677820886568</v>
      </c>
      <c r="K137">
        <v>0</v>
      </c>
      <c r="L137">
        <v>0</v>
      </c>
      <c r="M137">
        <v>2.533677820886568</v>
      </c>
      <c r="N137">
        <v>1</v>
      </c>
    </row>
    <row r="138" spans="9:14" x14ac:dyDescent="0.3">
      <c r="I138">
        <v>135</v>
      </c>
      <c r="J138">
        <v>2.9919755021572092</v>
      </c>
      <c r="K138">
        <v>0</v>
      </c>
      <c r="L138">
        <v>0</v>
      </c>
      <c r="M138">
        <v>2.9919755021572092</v>
      </c>
      <c r="N138">
        <v>1</v>
      </c>
    </row>
    <row r="139" spans="9:14" x14ac:dyDescent="0.3">
      <c r="I139">
        <v>136</v>
      </c>
      <c r="J139">
        <v>2.503290648222237</v>
      </c>
      <c r="K139">
        <v>0</v>
      </c>
      <c r="L139">
        <v>0</v>
      </c>
      <c r="M139">
        <v>2.503290648222237</v>
      </c>
      <c r="N139">
        <v>1</v>
      </c>
    </row>
    <row r="140" spans="9:14" x14ac:dyDescent="0.3">
      <c r="I140">
        <v>137</v>
      </c>
      <c r="J140">
        <v>2.7244160726740909</v>
      </c>
      <c r="K140">
        <v>0</v>
      </c>
      <c r="L140">
        <v>0</v>
      </c>
      <c r="M140">
        <v>2.7244160726740909</v>
      </c>
      <c r="N140">
        <v>1</v>
      </c>
    </row>
    <row r="141" spans="9:14" x14ac:dyDescent="0.3">
      <c r="I141">
        <v>138</v>
      </c>
      <c r="J141">
        <v>2.9453662000026659</v>
      </c>
      <c r="K141">
        <v>0</v>
      </c>
      <c r="L141">
        <v>0</v>
      </c>
      <c r="M141">
        <v>2.9453662000026659</v>
      </c>
      <c r="N141">
        <v>1</v>
      </c>
    </row>
    <row r="142" spans="9:14" x14ac:dyDescent="0.3">
      <c r="I142">
        <v>139</v>
      </c>
      <c r="J142">
        <v>2.8596648840422252</v>
      </c>
      <c r="K142">
        <v>0</v>
      </c>
      <c r="L142">
        <v>0</v>
      </c>
      <c r="M142">
        <v>2.8596648840422252</v>
      </c>
      <c r="N142">
        <v>1</v>
      </c>
    </row>
    <row r="143" spans="9:14" x14ac:dyDescent="0.3">
      <c r="I143">
        <v>140</v>
      </c>
      <c r="J143">
        <v>2.6070595381843491</v>
      </c>
      <c r="K143">
        <v>0</v>
      </c>
      <c r="L143">
        <v>0</v>
      </c>
      <c r="M143">
        <v>2.6070595381843491</v>
      </c>
      <c r="N143">
        <v>1</v>
      </c>
    </row>
    <row r="144" spans="9:14" x14ac:dyDescent="0.3">
      <c r="I144">
        <v>141</v>
      </c>
      <c r="J144">
        <v>2.824991628965416</v>
      </c>
      <c r="K144">
        <v>0</v>
      </c>
      <c r="L144">
        <v>0</v>
      </c>
      <c r="M144">
        <v>2.824991628965416</v>
      </c>
      <c r="N144">
        <v>1</v>
      </c>
    </row>
    <row r="145" spans="9:14" x14ac:dyDescent="0.3">
      <c r="I145">
        <v>142</v>
      </c>
      <c r="J145">
        <v>3.1620395541843092</v>
      </c>
      <c r="K145">
        <v>1</v>
      </c>
      <c r="L145">
        <v>1.5713309362920791</v>
      </c>
      <c r="M145">
        <v>4.7333704904763882</v>
      </c>
      <c r="N145">
        <v>0</v>
      </c>
    </row>
    <row r="146" spans="9:14" x14ac:dyDescent="0.3">
      <c r="I146">
        <v>143</v>
      </c>
      <c r="J146">
        <v>2.7860796763401749</v>
      </c>
      <c r="K146">
        <v>0</v>
      </c>
      <c r="L146">
        <v>0</v>
      </c>
      <c r="M146">
        <v>2.7860796763401749</v>
      </c>
      <c r="N146">
        <v>1</v>
      </c>
    </row>
    <row r="147" spans="9:14" x14ac:dyDescent="0.3">
      <c r="I147">
        <v>144</v>
      </c>
      <c r="J147">
        <v>2.3199396141794759</v>
      </c>
      <c r="K147">
        <v>0</v>
      </c>
      <c r="L147">
        <v>0</v>
      </c>
      <c r="M147">
        <v>2.3199396141794759</v>
      </c>
      <c r="N147">
        <v>1</v>
      </c>
    </row>
    <row r="148" spans="9:14" x14ac:dyDescent="0.3">
      <c r="I148">
        <v>145</v>
      </c>
      <c r="J148">
        <v>3.4800252213860809</v>
      </c>
      <c r="K148">
        <v>0</v>
      </c>
      <c r="L148">
        <v>0</v>
      </c>
      <c r="M148">
        <v>3.4800252213860809</v>
      </c>
      <c r="N148">
        <v>0</v>
      </c>
    </row>
    <row r="149" spans="9:14" x14ac:dyDescent="0.3">
      <c r="I149">
        <v>146</v>
      </c>
      <c r="J149">
        <v>3.1930522547892259</v>
      </c>
      <c r="K149">
        <v>1</v>
      </c>
      <c r="L149">
        <v>1.6267692501514399</v>
      </c>
      <c r="M149">
        <v>4.8198215049406663</v>
      </c>
      <c r="N149">
        <v>0</v>
      </c>
    </row>
    <row r="150" spans="9:14" x14ac:dyDescent="0.3">
      <c r="I150">
        <v>147</v>
      </c>
      <c r="J150">
        <v>3.1615561390365281</v>
      </c>
      <c r="K150">
        <v>0</v>
      </c>
      <c r="L150">
        <v>0</v>
      </c>
      <c r="M150">
        <v>3.1615561390365281</v>
      </c>
      <c r="N150">
        <v>0</v>
      </c>
    </row>
    <row r="151" spans="9:14" x14ac:dyDescent="0.3">
      <c r="I151">
        <v>148</v>
      </c>
      <c r="J151">
        <v>3.241492377000855</v>
      </c>
      <c r="K151">
        <v>0</v>
      </c>
      <c r="L151">
        <v>0</v>
      </c>
      <c r="M151">
        <v>3.241492377000855</v>
      </c>
      <c r="N151">
        <v>0</v>
      </c>
    </row>
    <row r="152" spans="9:14" x14ac:dyDescent="0.3">
      <c r="I152">
        <v>149</v>
      </c>
      <c r="J152">
        <v>3.5396926851480801</v>
      </c>
      <c r="K152">
        <v>0</v>
      </c>
      <c r="L152">
        <v>0</v>
      </c>
      <c r="M152">
        <v>3.5396926851480801</v>
      </c>
      <c r="N152">
        <v>0</v>
      </c>
    </row>
    <row r="153" spans="9:14" x14ac:dyDescent="0.3">
      <c r="I153">
        <v>150</v>
      </c>
      <c r="J153">
        <v>3.173444042530674</v>
      </c>
      <c r="K153">
        <v>0</v>
      </c>
      <c r="L153">
        <v>0</v>
      </c>
      <c r="M153">
        <v>3.173444042530674</v>
      </c>
      <c r="N153">
        <v>0</v>
      </c>
    </row>
    <row r="154" spans="9:14" x14ac:dyDescent="0.3">
      <c r="I154">
        <v>151</v>
      </c>
      <c r="J154">
        <v>2.760013715722847</v>
      </c>
      <c r="K154">
        <v>0</v>
      </c>
      <c r="L154">
        <v>0</v>
      </c>
      <c r="M154">
        <v>2.760013715722847</v>
      </c>
      <c r="N154">
        <v>1</v>
      </c>
    </row>
    <row r="155" spans="9:14" x14ac:dyDescent="0.3">
      <c r="I155">
        <v>152</v>
      </c>
      <c r="J155">
        <v>2.9835135773522978</v>
      </c>
      <c r="K155">
        <v>0</v>
      </c>
      <c r="L155">
        <v>0</v>
      </c>
      <c r="M155">
        <v>2.9835135773522978</v>
      </c>
      <c r="N155">
        <v>1</v>
      </c>
    </row>
    <row r="156" spans="9:14" x14ac:dyDescent="0.3">
      <c r="I156">
        <v>153</v>
      </c>
      <c r="J156">
        <v>3.4583592948818538</v>
      </c>
      <c r="K156">
        <v>1</v>
      </c>
      <c r="L156">
        <v>1.6312537288029421</v>
      </c>
      <c r="M156">
        <v>5.0896130236847963</v>
      </c>
      <c r="N156">
        <v>0</v>
      </c>
    </row>
    <row r="157" spans="9:14" x14ac:dyDescent="0.3">
      <c r="I157">
        <v>154</v>
      </c>
      <c r="J157">
        <v>2.5580590396484659</v>
      </c>
      <c r="K157">
        <v>1</v>
      </c>
      <c r="L157">
        <v>1.4154140254005281</v>
      </c>
      <c r="M157">
        <v>3.9734730650489949</v>
      </c>
      <c r="N157">
        <v>0</v>
      </c>
    </row>
    <row r="158" spans="9:14" x14ac:dyDescent="0.3">
      <c r="I158">
        <v>155</v>
      </c>
      <c r="J158">
        <v>3.212094830749634</v>
      </c>
      <c r="K158">
        <v>0</v>
      </c>
      <c r="L158">
        <v>0</v>
      </c>
      <c r="M158">
        <v>3.212094830749634</v>
      </c>
      <c r="N158">
        <v>0</v>
      </c>
    </row>
    <row r="159" spans="9:14" x14ac:dyDescent="0.3">
      <c r="I159">
        <v>156</v>
      </c>
      <c r="J159">
        <v>2.5586017188402161</v>
      </c>
      <c r="K159">
        <v>1</v>
      </c>
      <c r="L159">
        <v>1.965965160098835</v>
      </c>
      <c r="M159">
        <v>4.5245668789390514</v>
      </c>
      <c r="N159">
        <v>0</v>
      </c>
    </row>
    <row r="160" spans="9:14" x14ac:dyDescent="0.3">
      <c r="I160">
        <v>157</v>
      </c>
      <c r="J160">
        <v>2.687708211402227</v>
      </c>
      <c r="K160">
        <v>0</v>
      </c>
      <c r="L160">
        <v>0</v>
      </c>
      <c r="M160">
        <v>2.687708211402227</v>
      </c>
      <c r="N160">
        <v>1</v>
      </c>
    </row>
    <row r="161" spans="9:14" x14ac:dyDescent="0.3">
      <c r="I161">
        <v>158</v>
      </c>
      <c r="J161">
        <v>2.815845037153915</v>
      </c>
      <c r="K161">
        <v>0</v>
      </c>
      <c r="L161">
        <v>0</v>
      </c>
      <c r="M161">
        <v>2.815845037153915</v>
      </c>
      <c r="N161">
        <v>1</v>
      </c>
    </row>
    <row r="162" spans="9:14" x14ac:dyDescent="0.3">
      <c r="I162">
        <v>159</v>
      </c>
      <c r="J162">
        <v>3.551270214587785</v>
      </c>
      <c r="K162">
        <v>0</v>
      </c>
      <c r="L162">
        <v>0</v>
      </c>
      <c r="M162">
        <v>3.551270214587785</v>
      </c>
      <c r="N162">
        <v>0</v>
      </c>
    </row>
    <row r="163" spans="9:14" x14ac:dyDescent="0.3">
      <c r="I163">
        <v>160</v>
      </c>
      <c r="J163">
        <v>3.1525769706565319</v>
      </c>
      <c r="K163">
        <v>0</v>
      </c>
      <c r="L163">
        <v>0</v>
      </c>
      <c r="M163">
        <v>3.1525769706565319</v>
      </c>
      <c r="N163">
        <v>0</v>
      </c>
    </row>
    <row r="164" spans="9:14" x14ac:dyDescent="0.3">
      <c r="I164">
        <v>161</v>
      </c>
      <c r="J164">
        <v>2.9139986112279632</v>
      </c>
      <c r="K164">
        <v>1</v>
      </c>
      <c r="L164">
        <v>1.2983194430490459</v>
      </c>
      <c r="M164">
        <v>4.2123180542770076</v>
      </c>
      <c r="N164">
        <v>0</v>
      </c>
    </row>
    <row r="165" spans="9:14" x14ac:dyDescent="0.3">
      <c r="I165">
        <v>162</v>
      </c>
      <c r="J165">
        <v>3.538742337458471</v>
      </c>
      <c r="K165">
        <v>0</v>
      </c>
      <c r="L165">
        <v>0</v>
      </c>
      <c r="M165">
        <v>3.538742337458471</v>
      </c>
      <c r="N165">
        <v>0</v>
      </c>
    </row>
    <row r="166" spans="9:14" x14ac:dyDescent="0.3">
      <c r="I166">
        <v>163</v>
      </c>
      <c r="J166">
        <v>3.1201766817050678</v>
      </c>
      <c r="K166">
        <v>1</v>
      </c>
      <c r="L166">
        <v>1.4616446406477259</v>
      </c>
      <c r="M166">
        <v>4.5818213223527939</v>
      </c>
      <c r="N166">
        <v>0</v>
      </c>
    </row>
    <row r="167" spans="9:14" x14ac:dyDescent="0.3">
      <c r="I167">
        <v>164</v>
      </c>
      <c r="J167">
        <v>3.0940787420729738</v>
      </c>
      <c r="K167">
        <v>0</v>
      </c>
      <c r="L167">
        <v>0</v>
      </c>
      <c r="M167">
        <v>3.0940787420729738</v>
      </c>
      <c r="N167">
        <v>0</v>
      </c>
    </row>
    <row r="168" spans="9:14" x14ac:dyDescent="0.3">
      <c r="I168">
        <v>165</v>
      </c>
      <c r="J168">
        <v>2.6389714983700361</v>
      </c>
      <c r="K168">
        <v>0</v>
      </c>
      <c r="L168">
        <v>0</v>
      </c>
      <c r="M168">
        <v>2.6389714983700361</v>
      </c>
      <c r="N168">
        <v>1</v>
      </c>
    </row>
    <row r="169" spans="9:14" x14ac:dyDescent="0.3">
      <c r="I169">
        <v>166</v>
      </c>
      <c r="J169">
        <v>2.6851780504477079</v>
      </c>
      <c r="K169">
        <v>0</v>
      </c>
      <c r="L169">
        <v>0</v>
      </c>
      <c r="M169">
        <v>2.6851780504477079</v>
      </c>
      <c r="N169">
        <v>1</v>
      </c>
    </row>
    <row r="170" spans="9:14" x14ac:dyDescent="0.3">
      <c r="I170">
        <v>167</v>
      </c>
      <c r="J170">
        <v>2.9333268149329559</v>
      </c>
      <c r="K170">
        <v>0</v>
      </c>
      <c r="L170">
        <v>0</v>
      </c>
      <c r="M170">
        <v>2.9333268149329559</v>
      </c>
      <c r="N170">
        <v>1</v>
      </c>
    </row>
    <row r="171" spans="9:14" x14ac:dyDescent="0.3">
      <c r="I171">
        <v>168</v>
      </c>
      <c r="J171">
        <v>2.7449943635436949</v>
      </c>
      <c r="K171">
        <v>0</v>
      </c>
      <c r="L171">
        <v>0</v>
      </c>
      <c r="M171">
        <v>2.7449943635436949</v>
      </c>
      <c r="N171">
        <v>1</v>
      </c>
    </row>
    <row r="172" spans="9:14" x14ac:dyDescent="0.3">
      <c r="I172">
        <v>169</v>
      </c>
      <c r="J172">
        <v>2.3052900198649011</v>
      </c>
      <c r="K172">
        <v>0</v>
      </c>
      <c r="L172">
        <v>0</v>
      </c>
      <c r="M172">
        <v>2.3052900198649011</v>
      </c>
      <c r="N172">
        <v>1</v>
      </c>
    </row>
    <row r="173" spans="9:14" x14ac:dyDescent="0.3">
      <c r="I173">
        <v>170</v>
      </c>
      <c r="J173">
        <v>3.078191031437401</v>
      </c>
      <c r="K173">
        <v>0</v>
      </c>
      <c r="L173">
        <v>0</v>
      </c>
      <c r="M173">
        <v>3.078191031437401</v>
      </c>
      <c r="N173">
        <v>0</v>
      </c>
    </row>
    <row r="174" spans="9:14" x14ac:dyDescent="0.3">
      <c r="I174">
        <v>171</v>
      </c>
      <c r="J174">
        <v>2.6323543190492469</v>
      </c>
      <c r="K174">
        <v>0</v>
      </c>
      <c r="L174">
        <v>0</v>
      </c>
      <c r="M174">
        <v>2.6323543190492469</v>
      </c>
      <c r="N174">
        <v>1</v>
      </c>
    </row>
    <row r="175" spans="9:14" x14ac:dyDescent="0.3">
      <c r="I175">
        <v>172</v>
      </c>
      <c r="J175">
        <v>3.016790874243676</v>
      </c>
      <c r="K175">
        <v>0</v>
      </c>
      <c r="L175">
        <v>0</v>
      </c>
      <c r="M175">
        <v>3.016790874243676</v>
      </c>
      <c r="N175">
        <v>0</v>
      </c>
    </row>
    <row r="176" spans="9:14" x14ac:dyDescent="0.3">
      <c r="I176">
        <v>173</v>
      </c>
      <c r="J176">
        <v>2.5926011819071419</v>
      </c>
      <c r="K176">
        <v>0</v>
      </c>
      <c r="L176">
        <v>0</v>
      </c>
      <c r="M176">
        <v>2.5926011819071419</v>
      </c>
      <c r="N176">
        <v>1</v>
      </c>
    </row>
    <row r="177" spans="9:14" x14ac:dyDescent="0.3">
      <c r="I177">
        <v>174</v>
      </c>
      <c r="J177">
        <v>3.0382234495104541</v>
      </c>
      <c r="K177">
        <v>1</v>
      </c>
      <c r="L177">
        <v>1.777092197355163</v>
      </c>
      <c r="M177">
        <v>4.8153156468656171</v>
      </c>
      <c r="N177">
        <v>0</v>
      </c>
    </row>
    <row r="178" spans="9:14" x14ac:dyDescent="0.3">
      <c r="I178">
        <v>175</v>
      </c>
      <c r="J178">
        <v>2.4788702399124158</v>
      </c>
      <c r="K178">
        <v>0</v>
      </c>
      <c r="L178">
        <v>0</v>
      </c>
      <c r="M178">
        <v>2.4788702399124158</v>
      </c>
      <c r="N178">
        <v>1</v>
      </c>
    </row>
    <row r="179" spans="9:14" x14ac:dyDescent="0.3">
      <c r="I179">
        <v>176</v>
      </c>
      <c r="J179">
        <v>2.4400895043160031</v>
      </c>
      <c r="K179">
        <v>0</v>
      </c>
      <c r="L179">
        <v>0</v>
      </c>
      <c r="M179">
        <v>2.4400895043160031</v>
      </c>
      <c r="N179">
        <v>1</v>
      </c>
    </row>
    <row r="180" spans="9:14" x14ac:dyDescent="0.3">
      <c r="I180">
        <v>177</v>
      </c>
      <c r="J180">
        <v>2.6916354257659751</v>
      </c>
      <c r="K180">
        <v>0</v>
      </c>
      <c r="L180">
        <v>0</v>
      </c>
      <c r="M180">
        <v>2.6916354257659751</v>
      </c>
      <c r="N180">
        <v>1</v>
      </c>
    </row>
    <row r="181" spans="9:14" x14ac:dyDescent="0.3">
      <c r="I181">
        <v>178</v>
      </c>
      <c r="J181">
        <v>2.7274255556013749</v>
      </c>
      <c r="K181">
        <v>0</v>
      </c>
      <c r="L181">
        <v>0</v>
      </c>
      <c r="M181">
        <v>2.7274255556013749</v>
      </c>
      <c r="N181">
        <v>1</v>
      </c>
    </row>
    <row r="182" spans="9:14" x14ac:dyDescent="0.3">
      <c r="I182">
        <v>179</v>
      </c>
      <c r="J182">
        <v>2.9245426599527979</v>
      </c>
      <c r="K182">
        <v>0</v>
      </c>
      <c r="L182">
        <v>0</v>
      </c>
      <c r="M182">
        <v>2.9245426599527979</v>
      </c>
      <c r="N182">
        <v>1</v>
      </c>
    </row>
    <row r="183" spans="9:14" x14ac:dyDescent="0.3">
      <c r="I183">
        <v>180</v>
      </c>
      <c r="J183">
        <v>3.115013388733376</v>
      </c>
      <c r="K183">
        <v>0</v>
      </c>
      <c r="L183">
        <v>0</v>
      </c>
      <c r="M183">
        <v>3.115013388733376</v>
      </c>
      <c r="N183">
        <v>0</v>
      </c>
    </row>
    <row r="184" spans="9:14" x14ac:dyDescent="0.3">
      <c r="I184">
        <v>181</v>
      </c>
      <c r="J184">
        <v>3.3575460413772258</v>
      </c>
      <c r="K184">
        <v>0</v>
      </c>
      <c r="L184">
        <v>0</v>
      </c>
      <c r="M184">
        <v>3.3575460413772258</v>
      </c>
      <c r="N184">
        <v>0</v>
      </c>
    </row>
    <row r="185" spans="9:14" x14ac:dyDescent="0.3">
      <c r="I185">
        <v>182</v>
      </c>
      <c r="J185">
        <v>3.213064761840783</v>
      </c>
      <c r="K185">
        <v>0</v>
      </c>
      <c r="L185">
        <v>0</v>
      </c>
      <c r="M185">
        <v>3.213064761840783</v>
      </c>
      <c r="N185">
        <v>0</v>
      </c>
    </row>
    <row r="186" spans="9:14" x14ac:dyDescent="0.3">
      <c r="I186">
        <v>183</v>
      </c>
      <c r="J186">
        <v>3.1649561490197229</v>
      </c>
      <c r="K186">
        <v>0</v>
      </c>
      <c r="L186">
        <v>0</v>
      </c>
      <c r="M186">
        <v>3.1649561490197229</v>
      </c>
      <c r="N186">
        <v>0</v>
      </c>
    </row>
    <row r="187" spans="9:14" x14ac:dyDescent="0.3">
      <c r="I187">
        <v>184</v>
      </c>
      <c r="J187">
        <v>3.194642745783169</v>
      </c>
      <c r="K187">
        <v>0</v>
      </c>
      <c r="L187">
        <v>0</v>
      </c>
      <c r="M187">
        <v>3.194642745783169</v>
      </c>
      <c r="N187">
        <v>0</v>
      </c>
    </row>
    <row r="188" spans="9:14" x14ac:dyDescent="0.3">
      <c r="I188">
        <v>185</v>
      </c>
      <c r="J188">
        <v>3.3983955127526131</v>
      </c>
      <c r="K188">
        <v>0</v>
      </c>
      <c r="L188">
        <v>0</v>
      </c>
      <c r="M188">
        <v>3.3983955127526131</v>
      </c>
      <c r="N188">
        <v>0</v>
      </c>
    </row>
    <row r="189" spans="9:14" x14ac:dyDescent="0.3">
      <c r="I189">
        <v>186</v>
      </c>
      <c r="J189">
        <v>2.917450720575911</v>
      </c>
      <c r="K189">
        <v>0</v>
      </c>
      <c r="L189">
        <v>0</v>
      </c>
      <c r="M189">
        <v>2.917450720575911</v>
      </c>
      <c r="N189">
        <v>1</v>
      </c>
    </row>
    <row r="190" spans="9:14" x14ac:dyDescent="0.3">
      <c r="I190">
        <v>187</v>
      </c>
      <c r="J190">
        <v>2.6689411494949251</v>
      </c>
      <c r="K190">
        <v>0</v>
      </c>
      <c r="L190">
        <v>0</v>
      </c>
      <c r="M190">
        <v>2.6689411494949251</v>
      </c>
      <c r="N190">
        <v>1</v>
      </c>
    </row>
    <row r="191" spans="9:14" x14ac:dyDescent="0.3">
      <c r="I191">
        <v>188</v>
      </c>
      <c r="J191">
        <v>3.6554547087659328</v>
      </c>
      <c r="K191">
        <v>0</v>
      </c>
      <c r="L191">
        <v>0</v>
      </c>
      <c r="M191">
        <v>3.6554547087659328</v>
      </c>
      <c r="N191">
        <v>0</v>
      </c>
    </row>
    <row r="192" spans="9:14" x14ac:dyDescent="0.3">
      <c r="I192">
        <v>189</v>
      </c>
      <c r="J192">
        <v>2.8554851573077111</v>
      </c>
      <c r="K192">
        <v>0</v>
      </c>
      <c r="L192">
        <v>0</v>
      </c>
      <c r="M192">
        <v>2.8554851573077111</v>
      </c>
      <c r="N192">
        <v>1</v>
      </c>
    </row>
    <row r="193" spans="9:14" x14ac:dyDescent="0.3">
      <c r="I193">
        <v>190</v>
      </c>
      <c r="J193">
        <v>2.9930988879743379</v>
      </c>
      <c r="K193">
        <v>0</v>
      </c>
      <c r="L193">
        <v>0</v>
      </c>
      <c r="M193">
        <v>2.9930988879743379</v>
      </c>
      <c r="N193">
        <v>1</v>
      </c>
    </row>
    <row r="194" spans="9:14" x14ac:dyDescent="0.3">
      <c r="I194">
        <v>191</v>
      </c>
      <c r="J194">
        <v>2.8378388144484479</v>
      </c>
      <c r="K194">
        <v>0</v>
      </c>
      <c r="L194">
        <v>0</v>
      </c>
      <c r="M194">
        <v>2.8378388144484479</v>
      </c>
      <c r="N194">
        <v>1</v>
      </c>
    </row>
    <row r="195" spans="9:14" x14ac:dyDescent="0.3">
      <c r="I195">
        <v>192</v>
      </c>
      <c r="J195">
        <v>3.0253840924725952</v>
      </c>
      <c r="K195">
        <v>1</v>
      </c>
      <c r="L195">
        <v>1.500163146067967</v>
      </c>
      <c r="M195">
        <v>4.525547238540562</v>
      </c>
      <c r="N195">
        <v>0</v>
      </c>
    </row>
    <row r="196" spans="9:14" x14ac:dyDescent="0.3">
      <c r="I196">
        <v>193</v>
      </c>
      <c r="J196">
        <v>3.130905622844895</v>
      </c>
      <c r="K196">
        <v>0</v>
      </c>
      <c r="L196">
        <v>0</v>
      </c>
      <c r="M196">
        <v>3.130905622844895</v>
      </c>
      <c r="N196">
        <v>0</v>
      </c>
    </row>
    <row r="197" spans="9:14" x14ac:dyDescent="0.3">
      <c r="I197">
        <v>194</v>
      </c>
      <c r="J197">
        <v>3.655633599352845</v>
      </c>
      <c r="K197">
        <v>0</v>
      </c>
      <c r="L197">
        <v>0</v>
      </c>
      <c r="M197">
        <v>3.655633599352845</v>
      </c>
      <c r="N197">
        <v>0</v>
      </c>
    </row>
    <row r="198" spans="9:14" x14ac:dyDescent="0.3">
      <c r="I198">
        <v>195</v>
      </c>
      <c r="J198">
        <v>3.3483892082678541</v>
      </c>
      <c r="K198">
        <v>0</v>
      </c>
      <c r="L198">
        <v>0</v>
      </c>
      <c r="M198">
        <v>3.3483892082678541</v>
      </c>
      <c r="N198">
        <v>0</v>
      </c>
    </row>
    <row r="199" spans="9:14" x14ac:dyDescent="0.3">
      <c r="I199">
        <v>196</v>
      </c>
      <c r="J199">
        <v>3.3170747387107289</v>
      </c>
      <c r="K199">
        <v>0</v>
      </c>
      <c r="L199">
        <v>0</v>
      </c>
      <c r="M199">
        <v>3.3170747387107289</v>
      </c>
      <c r="N199">
        <v>0</v>
      </c>
    </row>
    <row r="200" spans="9:14" x14ac:dyDescent="0.3">
      <c r="I200">
        <v>197</v>
      </c>
      <c r="J200">
        <v>3.2264173219681949</v>
      </c>
      <c r="K200">
        <v>1</v>
      </c>
      <c r="L200">
        <v>1.4323674454058859</v>
      </c>
      <c r="M200">
        <v>4.6587847673740814</v>
      </c>
      <c r="N200">
        <v>0</v>
      </c>
    </row>
    <row r="201" spans="9:14" x14ac:dyDescent="0.3">
      <c r="I201">
        <v>198</v>
      </c>
      <c r="J201">
        <v>3.4557978595598859</v>
      </c>
      <c r="K201">
        <v>0</v>
      </c>
      <c r="L201">
        <v>0</v>
      </c>
      <c r="M201">
        <v>3.4557978595598859</v>
      </c>
      <c r="N201">
        <v>0</v>
      </c>
    </row>
    <row r="202" spans="9:14" x14ac:dyDescent="0.3">
      <c r="I202">
        <v>199</v>
      </c>
      <c r="J202">
        <v>2.7885356912830752</v>
      </c>
      <c r="K202">
        <v>0</v>
      </c>
      <c r="L202">
        <v>0</v>
      </c>
      <c r="M202">
        <v>2.7885356912830752</v>
      </c>
      <c r="N202">
        <v>1</v>
      </c>
    </row>
    <row r="203" spans="9:14" x14ac:dyDescent="0.3">
      <c r="I203">
        <v>200</v>
      </c>
      <c r="J203">
        <v>3.488693549361463</v>
      </c>
      <c r="K203">
        <v>1</v>
      </c>
      <c r="L203">
        <v>1.768726460875985</v>
      </c>
      <c r="M203">
        <v>5.2574200102374471</v>
      </c>
      <c r="N203">
        <v>0</v>
      </c>
    </row>
    <row r="204" spans="9:14" x14ac:dyDescent="0.3">
      <c r="I204">
        <v>201</v>
      </c>
      <c r="J204">
        <v>3.3104831163084829</v>
      </c>
      <c r="K204">
        <v>0</v>
      </c>
      <c r="L204">
        <v>0</v>
      </c>
      <c r="M204">
        <v>3.3104831163084829</v>
      </c>
      <c r="N204">
        <v>0</v>
      </c>
    </row>
    <row r="205" spans="9:14" x14ac:dyDescent="0.3">
      <c r="I205">
        <v>202</v>
      </c>
      <c r="J205">
        <v>2.4451730422704681</v>
      </c>
      <c r="K205">
        <v>0</v>
      </c>
      <c r="L205">
        <v>0</v>
      </c>
      <c r="M205">
        <v>2.4451730422704681</v>
      </c>
      <c r="N205">
        <v>1</v>
      </c>
    </row>
    <row r="206" spans="9:14" x14ac:dyDescent="0.3">
      <c r="I206">
        <v>203</v>
      </c>
      <c r="J206">
        <v>2.954132390142274</v>
      </c>
      <c r="K206">
        <v>0</v>
      </c>
      <c r="L206">
        <v>0</v>
      </c>
      <c r="M206">
        <v>2.954132390142274</v>
      </c>
      <c r="N206">
        <v>1</v>
      </c>
    </row>
    <row r="207" spans="9:14" x14ac:dyDescent="0.3">
      <c r="I207">
        <v>204</v>
      </c>
      <c r="J207">
        <v>2.972882947893519</v>
      </c>
      <c r="K207">
        <v>0</v>
      </c>
      <c r="L207">
        <v>0</v>
      </c>
      <c r="M207">
        <v>2.972882947893519</v>
      </c>
      <c r="N207">
        <v>1</v>
      </c>
    </row>
    <row r="208" spans="9:14" x14ac:dyDescent="0.3">
      <c r="I208">
        <v>205</v>
      </c>
      <c r="J208">
        <v>2.5443011853766899</v>
      </c>
      <c r="K208">
        <v>0</v>
      </c>
      <c r="L208">
        <v>0</v>
      </c>
      <c r="M208">
        <v>2.5443011853766899</v>
      </c>
      <c r="N208">
        <v>1</v>
      </c>
    </row>
    <row r="209" spans="9:14" x14ac:dyDescent="0.3">
      <c r="I209">
        <v>206</v>
      </c>
      <c r="J209">
        <v>2.715705730336885</v>
      </c>
      <c r="K209">
        <v>0</v>
      </c>
      <c r="L209">
        <v>0</v>
      </c>
      <c r="M209">
        <v>2.715705730336885</v>
      </c>
      <c r="N209">
        <v>1</v>
      </c>
    </row>
    <row r="210" spans="9:14" x14ac:dyDescent="0.3">
      <c r="I210">
        <v>207</v>
      </c>
      <c r="J210">
        <v>2.224766344433815</v>
      </c>
      <c r="K210">
        <v>0</v>
      </c>
      <c r="L210">
        <v>0</v>
      </c>
      <c r="M210">
        <v>2.224766344433815</v>
      </c>
      <c r="N210">
        <v>1</v>
      </c>
    </row>
    <row r="211" spans="9:14" x14ac:dyDescent="0.3">
      <c r="I211">
        <v>208</v>
      </c>
      <c r="J211">
        <v>3.1462649470311641</v>
      </c>
      <c r="K211">
        <v>0</v>
      </c>
      <c r="L211">
        <v>0</v>
      </c>
      <c r="M211">
        <v>3.1462649470311641</v>
      </c>
      <c r="N211">
        <v>0</v>
      </c>
    </row>
    <row r="212" spans="9:14" x14ac:dyDescent="0.3">
      <c r="I212">
        <v>209</v>
      </c>
      <c r="J212">
        <v>3.7201593401771671</v>
      </c>
      <c r="K212">
        <v>0</v>
      </c>
      <c r="L212">
        <v>0</v>
      </c>
      <c r="M212">
        <v>3.7201593401771671</v>
      </c>
      <c r="N212">
        <v>0</v>
      </c>
    </row>
    <row r="213" spans="9:14" x14ac:dyDescent="0.3">
      <c r="I213">
        <v>210</v>
      </c>
      <c r="J213">
        <v>2.479737491564721</v>
      </c>
      <c r="K213">
        <v>0</v>
      </c>
      <c r="L213">
        <v>0</v>
      </c>
      <c r="M213">
        <v>2.479737491564721</v>
      </c>
      <c r="N213">
        <v>1</v>
      </c>
    </row>
    <row r="214" spans="9:14" x14ac:dyDescent="0.3">
      <c r="I214">
        <v>211</v>
      </c>
      <c r="J214">
        <v>3.193177029378905</v>
      </c>
      <c r="K214">
        <v>1</v>
      </c>
      <c r="L214">
        <v>1.45535634690275</v>
      </c>
      <c r="M214">
        <v>4.6485333762816552</v>
      </c>
      <c r="N214">
        <v>0</v>
      </c>
    </row>
    <row r="215" spans="9:14" x14ac:dyDescent="0.3">
      <c r="I215">
        <v>212</v>
      </c>
      <c r="J215">
        <v>3.369767297103921</v>
      </c>
      <c r="K215">
        <v>0</v>
      </c>
      <c r="L215">
        <v>0</v>
      </c>
      <c r="M215">
        <v>3.369767297103921</v>
      </c>
      <c r="N215">
        <v>0</v>
      </c>
    </row>
    <row r="216" spans="9:14" x14ac:dyDescent="0.3">
      <c r="I216">
        <v>213</v>
      </c>
      <c r="J216">
        <v>3.0985647204127038</v>
      </c>
      <c r="K216">
        <v>0</v>
      </c>
      <c r="L216">
        <v>0</v>
      </c>
      <c r="M216">
        <v>3.0985647204127038</v>
      </c>
      <c r="N216">
        <v>0</v>
      </c>
    </row>
    <row r="217" spans="9:14" x14ac:dyDescent="0.3">
      <c r="I217">
        <v>214</v>
      </c>
      <c r="J217">
        <v>2.810282944406032</v>
      </c>
      <c r="K217">
        <v>0</v>
      </c>
      <c r="L217">
        <v>0</v>
      </c>
      <c r="M217">
        <v>2.810282944406032</v>
      </c>
      <c r="N217">
        <v>1</v>
      </c>
    </row>
    <row r="218" spans="9:14" x14ac:dyDescent="0.3">
      <c r="I218">
        <v>215</v>
      </c>
      <c r="J218">
        <v>3.016474981635854</v>
      </c>
      <c r="K218">
        <v>0</v>
      </c>
      <c r="L218">
        <v>0</v>
      </c>
      <c r="M218">
        <v>3.016474981635854</v>
      </c>
      <c r="N218">
        <v>0</v>
      </c>
    </row>
    <row r="219" spans="9:14" x14ac:dyDescent="0.3">
      <c r="I219">
        <v>216</v>
      </c>
      <c r="J219">
        <v>2.5339681340756561</v>
      </c>
      <c r="K219">
        <v>0</v>
      </c>
      <c r="L219">
        <v>0</v>
      </c>
      <c r="M219">
        <v>2.5339681340756561</v>
      </c>
      <c r="N219">
        <v>1</v>
      </c>
    </row>
    <row r="220" spans="9:14" x14ac:dyDescent="0.3">
      <c r="I220">
        <v>217</v>
      </c>
      <c r="J220">
        <v>2.431494221484007</v>
      </c>
      <c r="K220">
        <v>0</v>
      </c>
      <c r="L220">
        <v>0</v>
      </c>
      <c r="M220">
        <v>2.431494221484007</v>
      </c>
      <c r="N220">
        <v>1</v>
      </c>
    </row>
    <row r="221" spans="9:14" x14ac:dyDescent="0.3">
      <c r="I221">
        <v>218</v>
      </c>
      <c r="J221">
        <v>3.074413527067084</v>
      </c>
      <c r="K221">
        <v>0</v>
      </c>
      <c r="L221">
        <v>0</v>
      </c>
      <c r="M221">
        <v>3.074413527067084</v>
      </c>
      <c r="N221">
        <v>0</v>
      </c>
    </row>
    <row r="222" spans="9:14" x14ac:dyDescent="0.3">
      <c r="I222">
        <v>219</v>
      </c>
      <c r="J222">
        <v>3.4516299821702798</v>
      </c>
      <c r="K222">
        <v>0</v>
      </c>
      <c r="L222">
        <v>0</v>
      </c>
      <c r="M222">
        <v>3.4516299821702798</v>
      </c>
      <c r="N222">
        <v>0</v>
      </c>
    </row>
    <row r="223" spans="9:14" x14ac:dyDescent="0.3">
      <c r="I223">
        <v>220</v>
      </c>
      <c r="J223">
        <v>2.948616819738255</v>
      </c>
      <c r="K223">
        <v>0</v>
      </c>
      <c r="L223">
        <v>0</v>
      </c>
      <c r="M223">
        <v>2.948616819738255</v>
      </c>
      <c r="N223">
        <v>1</v>
      </c>
    </row>
    <row r="224" spans="9:14" x14ac:dyDescent="0.3">
      <c r="I224">
        <v>221</v>
      </c>
      <c r="J224">
        <v>3.7518896054323529</v>
      </c>
      <c r="K224">
        <v>0</v>
      </c>
      <c r="L224">
        <v>0</v>
      </c>
      <c r="M224">
        <v>3.7518896054323529</v>
      </c>
      <c r="N224">
        <v>0</v>
      </c>
    </row>
    <row r="225" spans="9:14" x14ac:dyDescent="0.3">
      <c r="I225">
        <v>222</v>
      </c>
      <c r="J225">
        <v>2.6547830158301848</v>
      </c>
      <c r="K225">
        <v>0</v>
      </c>
      <c r="L225">
        <v>0</v>
      </c>
      <c r="M225">
        <v>2.6547830158301848</v>
      </c>
      <c r="N225">
        <v>1</v>
      </c>
    </row>
    <row r="226" spans="9:14" x14ac:dyDescent="0.3">
      <c r="I226">
        <v>223</v>
      </c>
      <c r="J226">
        <v>2.8055064864076291</v>
      </c>
      <c r="K226">
        <v>0</v>
      </c>
      <c r="L226">
        <v>0</v>
      </c>
      <c r="M226">
        <v>2.8055064864076291</v>
      </c>
      <c r="N226">
        <v>1</v>
      </c>
    </row>
    <row r="227" spans="9:14" x14ac:dyDescent="0.3">
      <c r="I227">
        <v>224</v>
      </c>
      <c r="J227">
        <v>3.1054416401078999</v>
      </c>
      <c r="K227">
        <v>0</v>
      </c>
      <c r="L227">
        <v>0</v>
      </c>
      <c r="M227">
        <v>3.1054416401078999</v>
      </c>
      <c r="N227">
        <v>0</v>
      </c>
    </row>
    <row r="228" spans="9:14" x14ac:dyDescent="0.3">
      <c r="I228">
        <v>225</v>
      </c>
      <c r="J228">
        <v>3.550431382813005</v>
      </c>
      <c r="K228">
        <v>1</v>
      </c>
      <c r="L228">
        <v>1.104625609395375</v>
      </c>
      <c r="M228">
        <v>4.6550569922083804</v>
      </c>
      <c r="N228">
        <v>0</v>
      </c>
    </row>
    <row r="229" spans="9:14" x14ac:dyDescent="0.3">
      <c r="I229">
        <v>226</v>
      </c>
      <c r="J229">
        <v>3.3052198045372778</v>
      </c>
      <c r="K229">
        <v>0</v>
      </c>
      <c r="L229">
        <v>0</v>
      </c>
      <c r="M229">
        <v>3.3052198045372778</v>
      </c>
      <c r="N229">
        <v>0</v>
      </c>
    </row>
    <row r="230" spans="9:14" x14ac:dyDescent="0.3">
      <c r="I230">
        <v>227</v>
      </c>
      <c r="J230">
        <v>3.4852511414147291</v>
      </c>
      <c r="K230">
        <v>1</v>
      </c>
      <c r="L230">
        <v>1.3353367671567</v>
      </c>
      <c r="M230">
        <v>4.8205879085714294</v>
      </c>
      <c r="N230">
        <v>0</v>
      </c>
    </row>
    <row r="231" spans="9:14" x14ac:dyDescent="0.3">
      <c r="I231">
        <v>228</v>
      </c>
      <c r="J231">
        <v>3.237967903002593</v>
      </c>
      <c r="K231">
        <v>0</v>
      </c>
      <c r="L231">
        <v>0</v>
      </c>
      <c r="M231">
        <v>3.237967903002593</v>
      </c>
      <c r="N231">
        <v>0</v>
      </c>
    </row>
    <row r="232" spans="9:14" x14ac:dyDescent="0.3">
      <c r="I232">
        <v>229</v>
      </c>
      <c r="J232">
        <v>3.0539643636489431</v>
      </c>
      <c r="K232">
        <v>0</v>
      </c>
      <c r="L232">
        <v>0</v>
      </c>
      <c r="M232">
        <v>3.0539643636489431</v>
      </c>
      <c r="N232">
        <v>0</v>
      </c>
    </row>
    <row r="233" spans="9:14" x14ac:dyDescent="0.3">
      <c r="I233">
        <v>230</v>
      </c>
      <c r="J233">
        <v>3.302484443904945</v>
      </c>
      <c r="K233">
        <v>0</v>
      </c>
      <c r="L233">
        <v>0</v>
      </c>
      <c r="M233">
        <v>3.302484443904945</v>
      </c>
      <c r="N233">
        <v>0</v>
      </c>
    </row>
    <row r="234" spans="9:14" x14ac:dyDescent="0.3">
      <c r="I234">
        <v>231</v>
      </c>
      <c r="J234">
        <v>2.865270932197121</v>
      </c>
      <c r="K234">
        <v>0</v>
      </c>
      <c r="L234">
        <v>0</v>
      </c>
      <c r="M234">
        <v>2.865270932197121</v>
      </c>
      <c r="N234">
        <v>1</v>
      </c>
    </row>
    <row r="235" spans="9:14" x14ac:dyDescent="0.3">
      <c r="I235">
        <v>232</v>
      </c>
      <c r="J235">
        <v>2.968448220198725</v>
      </c>
      <c r="K235">
        <v>0</v>
      </c>
      <c r="L235">
        <v>0</v>
      </c>
      <c r="M235">
        <v>2.968448220198725</v>
      </c>
      <c r="N235">
        <v>1</v>
      </c>
    </row>
    <row r="236" spans="9:14" x14ac:dyDescent="0.3">
      <c r="I236">
        <v>233</v>
      </c>
      <c r="J236">
        <v>2.6999292718566941</v>
      </c>
      <c r="K236">
        <v>0</v>
      </c>
      <c r="L236">
        <v>0</v>
      </c>
      <c r="M236">
        <v>2.6999292718566941</v>
      </c>
      <c r="N236">
        <v>1</v>
      </c>
    </row>
    <row r="237" spans="9:14" x14ac:dyDescent="0.3">
      <c r="I237">
        <v>234</v>
      </c>
      <c r="J237">
        <v>2.5142580627554989</v>
      </c>
      <c r="K237">
        <v>0</v>
      </c>
      <c r="L237">
        <v>0</v>
      </c>
      <c r="M237">
        <v>2.5142580627554989</v>
      </c>
      <c r="N237">
        <v>1</v>
      </c>
    </row>
    <row r="238" spans="9:14" x14ac:dyDescent="0.3">
      <c r="I238">
        <v>235</v>
      </c>
      <c r="J238">
        <v>3.460608851259328</v>
      </c>
      <c r="K238">
        <v>0</v>
      </c>
      <c r="L238">
        <v>0</v>
      </c>
      <c r="M238">
        <v>3.460608851259328</v>
      </c>
      <c r="N238">
        <v>0</v>
      </c>
    </row>
    <row r="239" spans="9:14" x14ac:dyDescent="0.3">
      <c r="I239">
        <v>236</v>
      </c>
      <c r="J239">
        <v>2.8344779368121649</v>
      </c>
      <c r="K239">
        <v>0</v>
      </c>
      <c r="L239">
        <v>0</v>
      </c>
      <c r="M239">
        <v>2.8344779368121649</v>
      </c>
      <c r="N239">
        <v>1</v>
      </c>
    </row>
    <row r="240" spans="9:14" x14ac:dyDescent="0.3">
      <c r="I240">
        <v>237</v>
      </c>
      <c r="J240">
        <v>3.4189853027020982</v>
      </c>
      <c r="K240">
        <v>0</v>
      </c>
      <c r="L240">
        <v>0</v>
      </c>
      <c r="M240">
        <v>3.4189853027020982</v>
      </c>
      <c r="N240">
        <v>0</v>
      </c>
    </row>
    <row r="241" spans="9:14" x14ac:dyDescent="0.3">
      <c r="I241">
        <v>238</v>
      </c>
      <c r="J241">
        <v>2.8967112328259979</v>
      </c>
      <c r="K241">
        <v>0</v>
      </c>
      <c r="L241">
        <v>0</v>
      </c>
      <c r="M241">
        <v>2.8967112328259979</v>
      </c>
      <c r="N241">
        <v>1</v>
      </c>
    </row>
    <row r="242" spans="9:14" x14ac:dyDescent="0.3">
      <c r="I242">
        <v>239</v>
      </c>
      <c r="J242">
        <v>2.7450526437528269</v>
      </c>
      <c r="K242">
        <v>0</v>
      </c>
      <c r="L242">
        <v>0</v>
      </c>
      <c r="M242">
        <v>2.7450526437528269</v>
      </c>
      <c r="N242">
        <v>1</v>
      </c>
    </row>
    <row r="243" spans="9:14" x14ac:dyDescent="0.3">
      <c r="I243">
        <v>240</v>
      </c>
      <c r="J243">
        <v>2.832979448767408</v>
      </c>
      <c r="K243">
        <v>0</v>
      </c>
      <c r="L243">
        <v>0</v>
      </c>
      <c r="M243">
        <v>2.832979448767408</v>
      </c>
      <c r="N243">
        <v>1</v>
      </c>
    </row>
    <row r="244" spans="9:14" x14ac:dyDescent="0.3">
      <c r="I244">
        <v>241</v>
      </c>
      <c r="J244">
        <v>3.066791817464563</v>
      </c>
      <c r="K244">
        <v>0</v>
      </c>
      <c r="L244">
        <v>0</v>
      </c>
      <c r="M244">
        <v>3.066791817464563</v>
      </c>
      <c r="N244">
        <v>0</v>
      </c>
    </row>
    <row r="245" spans="9:14" x14ac:dyDescent="0.3">
      <c r="I245">
        <v>242</v>
      </c>
      <c r="J245">
        <v>2.4481582856078452</v>
      </c>
      <c r="K245">
        <v>0</v>
      </c>
      <c r="L245">
        <v>0</v>
      </c>
      <c r="M245">
        <v>2.4481582856078452</v>
      </c>
      <c r="N245">
        <v>1</v>
      </c>
    </row>
    <row r="246" spans="9:14" x14ac:dyDescent="0.3">
      <c r="I246">
        <v>243</v>
      </c>
      <c r="J246">
        <v>2.427586447397442</v>
      </c>
      <c r="K246">
        <v>0</v>
      </c>
      <c r="L246">
        <v>0</v>
      </c>
      <c r="M246">
        <v>2.427586447397442</v>
      </c>
      <c r="N246">
        <v>1</v>
      </c>
    </row>
    <row r="247" spans="9:14" x14ac:dyDescent="0.3">
      <c r="I247">
        <v>244</v>
      </c>
      <c r="J247">
        <v>2.694880029009731</v>
      </c>
      <c r="K247">
        <v>0</v>
      </c>
      <c r="L247">
        <v>0</v>
      </c>
      <c r="M247">
        <v>2.694880029009731</v>
      </c>
      <c r="N247">
        <v>1</v>
      </c>
    </row>
    <row r="248" spans="9:14" x14ac:dyDescent="0.3">
      <c r="I248">
        <v>245</v>
      </c>
      <c r="J248">
        <v>2.4063661123091382</v>
      </c>
      <c r="K248">
        <v>0</v>
      </c>
      <c r="L248">
        <v>0</v>
      </c>
      <c r="M248">
        <v>2.4063661123091382</v>
      </c>
      <c r="N248">
        <v>1</v>
      </c>
    </row>
    <row r="249" spans="9:14" x14ac:dyDescent="0.3">
      <c r="I249">
        <v>246</v>
      </c>
      <c r="J249">
        <v>2.4619170424083161</v>
      </c>
      <c r="K249">
        <v>0</v>
      </c>
      <c r="L249">
        <v>0</v>
      </c>
      <c r="M249">
        <v>2.4619170424083161</v>
      </c>
      <c r="N249">
        <v>1</v>
      </c>
    </row>
    <row r="250" spans="9:14" x14ac:dyDescent="0.3">
      <c r="I250">
        <v>247</v>
      </c>
      <c r="J250">
        <v>2.8714162123129499</v>
      </c>
      <c r="K250">
        <v>0</v>
      </c>
      <c r="L250">
        <v>0</v>
      </c>
      <c r="M250">
        <v>2.8714162123129499</v>
      </c>
      <c r="N250">
        <v>1</v>
      </c>
    </row>
    <row r="251" spans="9:14" x14ac:dyDescent="0.3">
      <c r="I251">
        <v>248</v>
      </c>
      <c r="J251">
        <v>3.2194952931434089</v>
      </c>
      <c r="K251">
        <v>1</v>
      </c>
      <c r="L251">
        <v>1.7629717149888431</v>
      </c>
      <c r="M251">
        <v>4.982467008132252</v>
      </c>
      <c r="N251">
        <v>0</v>
      </c>
    </row>
    <row r="252" spans="9:14" x14ac:dyDescent="0.3">
      <c r="I252">
        <v>249</v>
      </c>
      <c r="J252">
        <v>3.206494396835601</v>
      </c>
      <c r="K252">
        <v>1</v>
      </c>
      <c r="L252">
        <v>1.2311786184419979</v>
      </c>
      <c r="M252">
        <v>4.4376730152775989</v>
      </c>
      <c r="N252">
        <v>0</v>
      </c>
    </row>
    <row r="253" spans="9:14" x14ac:dyDescent="0.3">
      <c r="I253">
        <v>250</v>
      </c>
      <c r="J253">
        <v>3.1663130017053618</v>
      </c>
      <c r="K253">
        <v>0</v>
      </c>
      <c r="L253">
        <v>0</v>
      </c>
      <c r="M253">
        <v>3.1663130017053618</v>
      </c>
      <c r="N253">
        <v>0</v>
      </c>
    </row>
    <row r="254" spans="9:14" x14ac:dyDescent="0.3">
      <c r="I254">
        <v>251</v>
      </c>
      <c r="J254">
        <v>2.8499616668383059</v>
      </c>
      <c r="K254">
        <v>0</v>
      </c>
      <c r="L254">
        <v>0</v>
      </c>
      <c r="M254">
        <v>2.8499616668383059</v>
      </c>
      <c r="N254">
        <v>1</v>
      </c>
    </row>
    <row r="255" spans="9:14" x14ac:dyDescent="0.3">
      <c r="I255">
        <v>252</v>
      </c>
      <c r="J255">
        <v>3.421832152703546</v>
      </c>
      <c r="K255">
        <v>0</v>
      </c>
      <c r="L255">
        <v>0</v>
      </c>
      <c r="M255">
        <v>3.421832152703546</v>
      </c>
      <c r="N255">
        <v>0</v>
      </c>
    </row>
    <row r="256" spans="9:14" x14ac:dyDescent="0.3">
      <c r="I256">
        <v>253</v>
      </c>
      <c r="J256">
        <v>3.4324234904246662</v>
      </c>
      <c r="K256">
        <v>0</v>
      </c>
      <c r="L256">
        <v>0</v>
      </c>
      <c r="M256">
        <v>3.4324234904246662</v>
      </c>
      <c r="N256">
        <v>0</v>
      </c>
    </row>
    <row r="257" spans="9:14" x14ac:dyDescent="0.3">
      <c r="I257">
        <v>254</v>
      </c>
      <c r="J257">
        <v>3.3716326405718751</v>
      </c>
      <c r="K257">
        <v>0</v>
      </c>
      <c r="L257">
        <v>0</v>
      </c>
      <c r="M257">
        <v>3.3716326405718751</v>
      </c>
      <c r="N257">
        <v>0</v>
      </c>
    </row>
    <row r="258" spans="9:14" x14ac:dyDescent="0.3">
      <c r="I258">
        <v>255</v>
      </c>
      <c r="J258">
        <v>3.73149465354525</v>
      </c>
      <c r="K258">
        <v>0</v>
      </c>
      <c r="L258">
        <v>0</v>
      </c>
      <c r="M258">
        <v>3.73149465354525</v>
      </c>
      <c r="N258">
        <v>0</v>
      </c>
    </row>
    <row r="259" spans="9:14" x14ac:dyDescent="0.3">
      <c r="I259">
        <v>256</v>
      </c>
      <c r="J259">
        <v>2.8847280877168542</v>
      </c>
      <c r="K259">
        <v>0</v>
      </c>
      <c r="L259">
        <v>0</v>
      </c>
      <c r="M259">
        <v>2.8847280877168542</v>
      </c>
      <c r="N259">
        <v>1</v>
      </c>
    </row>
    <row r="260" spans="9:14" x14ac:dyDescent="0.3">
      <c r="I260">
        <v>257</v>
      </c>
      <c r="J260">
        <v>3.4921121864069091</v>
      </c>
      <c r="K260">
        <v>0</v>
      </c>
      <c r="L260">
        <v>0</v>
      </c>
      <c r="M260">
        <v>3.4921121864069091</v>
      </c>
      <c r="N260">
        <v>0</v>
      </c>
    </row>
    <row r="261" spans="9:14" x14ac:dyDescent="0.3">
      <c r="I261">
        <v>258</v>
      </c>
      <c r="J261">
        <v>2.8051952640873221</v>
      </c>
      <c r="K261">
        <v>0</v>
      </c>
      <c r="L261">
        <v>0</v>
      </c>
      <c r="M261">
        <v>2.8051952640873221</v>
      </c>
      <c r="N261">
        <v>1</v>
      </c>
    </row>
    <row r="262" spans="9:14" x14ac:dyDescent="0.3">
      <c r="I262">
        <v>259</v>
      </c>
      <c r="J262">
        <v>3.346660056444589</v>
      </c>
      <c r="K262">
        <v>0</v>
      </c>
      <c r="L262">
        <v>0</v>
      </c>
      <c r="M262">
        <v>3.346660056444589</v>
      </c>
      <c r="N262">
        <v>0</v>
      </c>
    </row>
    <row r="263" spans="9:14" x14ac:dyDescent="0.3">
      <c r="I263">
        <v>260</v>
      </c>
      <c r="J263">
        <v>3.5560841104166352</v>
      </c>
      <c r="K263">
        <v>0</v>
      </c>
      <c r="L263">
        <v>0</v>
      </c>
      <c r="M263">
        <v>3.5560841104166352</v>
      </c>
      <c r="N263">
        <v>0</v>
      </c>
    </row>
    <row r="264" spans="9:14" x14ac:dyDescent="0.3">
      <c r="I264">
        <v>261</v>
      </c>
      <c r="J264">
        <v>2.717438632974432</v>
      </c>
      <c r="K264">
        <v>0</v>
      </c>
      <c r="L264">
        <v>0</v>
      </c>
      <c r="M264">
        <v>2.717438632974432</v>
      </c>
      <c r="N264">
        <v>1</v>
      </c>
    </row>
    <row r="265" spans="9:14" x14ac:dyDescent="0.3">
      <c r="I265">
        <v>262</v>
      </c>
      <c r="J265">
        <v>3.713982478529994</v>
      </c>
      <c r="K265">
        <v>0</v>
      </c>
      <c r="L265">
        <v>0</v>
      </c>
      <c r="M265">
        <v>3.713982478529994</v>
      </c>
      <c r="N265">
        <v>0</v>
      </c>
    </row>
    <row r="266" spans="9:14" x14ac:dyDescent="0.3">
      <c r="I266">
        <v>263</v>
      </c>
      <c r="J266">
        <v>2.7368014588633751</v>
      </c>
      <c r="K266">
        <v>1</v>
      </c>
      <c r="L266">
        <v>1.902096609367945</v>
      </c>
      <c r="M266">
        <v>4.6388980682313203</v>
      </c>
      <c r="N266">
        <v>0</v>
      </c>
    </row>
    <row r="267" spans="9:14" x14ac:dyDescent="0.3">
      <c r="I267">
        <v>264</v>
      </c>
      <c r="J267">
        <v>2.9728253306446391</v>
      </c>
      <c r="K267">
        <v>0</v>
      </c>
      <c r="L267">
        <v>0</v>
      </c>
      <c r="M267">
        <v>2.9728253306446391</v>
      </c>
      <c r="N267">
        <v>1</v>
      </c>
    </row>
    <row r="268" spans="9:14" x14ac:dyDescent="0.3">
      <c r="I268">
        <v>265</v>
      </c>
      <c r="J268">
        <v>3.0603591307988101</v>
      </c>
      <c r="K268">
        <v>1</v>
      </c>
      <c r="L268">
        <v>1.361353283919633</v>
      </c>
      <c r="M268">
        <v>4.421712414718443</v>
      </c>
      <c r="N268">
        <v>0</v>
      </c>
    </row>
    <row r="269" spans="9:14" x14ac:dyDescent="0.3">
      <c r="I269">
        <v>266</v>
      </c>
      <c r="J269">
        <v>3.3881070708788981</v>
      </c>
      <c r="K269">
        <v>0</v>
      </c>
      <c r="L269">
        <v>0</v>
      </c>
      <c r="M269">
        <v>3.3881070708788981</v>
      </c>
      <c r="N269">
        <v>0</v>
      </c>
    </row>
    <row r="270" spans="9:14" x14ac:dyDescent="0.3">
      <c r="I270">
        <v>267</v>
      </c>
      <c r="J270">
        <v>3.2638298110610768</v>
      </c>
      <c r="K270">
        <v>0</v>
      </c>
      <c r="L270">
        <v>0</v>
      </c>
      <c r="M270">
        <v>3.2638298110610768</v>
      </c>
      <c r="N270">
        <v>0</v>
      </c>
    </row>
    <row r="271" spans="9:14" x14ac:dyDescent="0.3">
      <c r="I271">
        <v>268</v>
      </c>
      <c r="J271">
        <v>3.244616888378042</v>
      </c>
      <c r="K271">
        <v>0</v>
      </c>
      <c r="L271">
        <v>0</v>
      </c>
      <c r="M271">
        <v>3.244616888378042</v>
      </c>
      <c r="N271">
        <v>0</v>
      </c>
    </row>
    <row r="272" spans="9:14" x14ac:dyDescent="0.3">
      <c r="I272">
        <v>269</v>
      </c>
      <c r="J272">
        <v>3.002027927616314</v>
      </c>
      <c r="K272">
        <v>0</v>
      </c>
      <c r="L272">
        <v>0</v>
      </c>
      <c r="M272">
        <v>3.002027927616314</v>
      </c>
      <c r="N272">
        <v>0</v>
      </c>
    </row>
    <row r="273" spans="9:14" x14ac:dyDescent="0.3">
      <c r="I273">
        <v>270</v>
      </c>
      <c r="J273">
        <v>3.381958251081072</v>
      </c>
      <c r="K273">
        <v>0</v>
      </c>
      <c r="L273">
        <v>0</v>
      </c>
      <c r="M273">
        <v>3.381958251081072</v>
      </c>
      <c r="N273">
        <v>0</v>
      </c>
    </row>
    <row r="274" spans="9:14" x14ac:dyDescent="0.3">
      <c r="I274">
        <v>271</v>
      </c>
      <c r="J274">
        <v>2.4812504128113289</v>
      </c>
      <c r="K274">
        <v>0</v>
      </c>
      <c r="L274">
        <v>0</v>
      </c>
      <c r="M274">
        <v>2.4812504128113289</v>
      </c>
      <c r="N274">
        <v>1</v>
      </c>
    </row>
    <row r="275" spans="9:14" x14ac:dyDescent="0.3">
      <c r="I275">
        <v>272</v>
      </c>
      <c r="J275">
        <v>2.7924786661461432</v>
      </c>
      <c r="K275">
        <v>1</v>
      </c>
      <c r="L275">
        <v>1.2388467399657559</v>
      </c>
      <c r="M275">
        <v>4.0313254061118986</v>
      </c>
      <c r="N275">
        <v>0</v>
      </c>
    </row>
    <row r="276" spans="9:14" x14ac:dyDescent="0.3">
      <c r="I276">
        <v>273</v>
      </c>
      <c r="J276">
        <v>2.937007500146156</v>
      </c>
      <c r="K276">
        <v>0</v>
      </c>
      <c r="L276">
        <v>0</v>
      </c>
      <c r="M276">
        <v>2.937007500146156</v>
      </c>
      <c r="N276">
        <v>1</v>
      </c>
    </row>
    <row r="277" spans="9:14" x14ac:dyDescent="0.3">
      <c r="I277">
        <v>274</v>
      </c>
      <c r="J277">
        <v>3.422915781545385</v>
      </c>
      <c r="K277">
        <v>0</v>
      </c>
      <c r="L277">
        <v>0</v>
      </c>
      <c r="M277">
        <v>3.422915781545385</v>
      </c>
      <c r="N277">
        <v>0</v>
      </c>
    </row>
    <row r="278" spans="9:14" x14ac:dyDescent="0.3">
      <c r="I278">
        <v>275</v>
      </c>
      <c r="J278">
        <v>3.3904315807313581</v>
      </c>
      <c r="K278">
        <v>0</v>
      </c>
      <c r="L278">
        <v>0</v>
      </c>
      <c r="M278">
        <v>3.3904315807313581</v>
      </c>
      <c r="N278">
        <v>0</v>
      </c>
    </row>
    <row r="279" spans="9:14" x14ac:dyDescent="0.3">
      <c r="I279">
        <v>276</v>
      </c>
      <c r="J279">
        <v>2.5145120513702581</v>
      </c>
      <c r="K279">
        <v>0</v>
      </c>
      <c r="L279">
        <v>0</v>
      </c>
      <c r="M279">
        <v>2.5145120513702581</v>
      </c>
      <c r="N279">
        <v>1</v>
      </c>
    </row>
    <row r="280" spans="9:14" x14ac:dyDescent="0.3">
      <c r="I280">
        <v>277</v>
      </c>
      <c r="J280">
        <v>3.6502456521991609</v>
      </c>
      <c r="K280">
        <v>1</v>
      </c>
      <c r="L280">
        <v>1.302219196969252</v>
      </c>
      <c r="M280">
        <v>4.9524648491684129</v>
      </c>
      <c r="N280">
        <v>0</v>
      </c>
    </row>
    <row r="281" spans="9:14" x14ac:dyDescent="0.3">
      <c r="I281">
        <v>278</v>
      </c>
      <c r="J281">
        <v>2.65815371104414</v>
      </c>
      <c r="K281">
        <v>0</v>
      </c>
      <c r="L281">
        <v>0</v>
      </c>
      <c r="M281">
        <v>2.65815371104414</v>
      </c>
      <c r="N281">
        <v>1</v>
      </c>
    </row>
    <row r="282" spans="9:14" x14ac:dyDescent="0.3">
      <c r="I282">
        <v>279</v>
      </c>
      <c r="J282">
        <v>2.852712810019105</v>
      </c>
      <c r="K282">
        <v>0</v>
      </c>
      <c r="L282">
        <v>0</v>
      </c>
      <c r="M282">
        <v>2.852712810019105</v>
      </c>
      <c r="N282">
        <v>1</v>
      </c>
    </row>
    <row r="283" spans="9:14" x14ac:dyDescent="0.3">
      <c r="I283">
        <v>280</v>
      </c>
      <c r="J283">
        <v>3.1831576942847661</v>
      </c>
      <c r="K283">
        <v>0</v>
      </c>
      <c r="L283">
        <v>0</v>
      </c>
      <c r="M283">
        <v>3.1831576942847661</v>
      </c>
      <c r="N283">
        <v>0</v>
      </c>
    </row>
    <row r="284" spans="9:14" x14ac:dyDescent="0.3">
      <c r="I284">
        <v>281</v>
      </c>
      <c r="J284">
        <v>2.7702031822230588</v>
      </c>
      <c r="K284">
        <v>0</v>
      </c>
      <c r="L284">
        <v>0</v>
      </c>
      <c r="M284">
        <v>2.7702031822230588</v>
      </c>
      <c r="N284">
        <v>1</v>
      </c>
    </row>
    <row r="285" spans="9:14" x14ac:dyDescent="0.3">
      <c r="I285">
        <v>282</v>
      </c>
      <c r="J285">
        <v>3.8727557828401471</v>
      </c>
      <c r="K285">
        <v>0</v>
      </c>
      <c r="L285">
        <v>0</v>
      </c>
      <c r="M285">
        <v>3.8727557828401471</v>
      </c>
      <c r="N285">
        <v>0</v>
      </c>
    </row>
    <row r="286" spans="9:14" x14ac:dyDescent="0.3">
      <c r="I286">
        <v>283</v>
      </c>
      <c r="J286">
        <v>3.4144648541951401</v>
      </c>
      <c r="K286">
        <v>0</v>
      </c>
      <c r="L286">
        <v>0</v>
      </c>
      <c r="M286">
        <v>3.4144648541951401</v>
      </c>
      <c r="N286">
        <v>0</v>
      </c>
    </row>
    <row r="287" spans="9:14" x14ac:dyDescent="0.3">
      <c r="I287">
        <v>284</v>
      </c>
      <c r="J287">
        <v>3.2541253334384779</v>
      </c>
      <c r="K287">
        <v>0</v>
      </c>
      <c r="L287">
        <v>0</v>
      </c>
      <c r="M287">
        <v>3.2541253334384779</v>
      </c>
      <c r="N287">
        <v>0</v>
      </c>
    </row>
    <row r="288" spans="9:14" x14ac:dyDescent="0.3">
      <c r="I288">
        <v>285</v>
      </c>
      <c r="J288">
        <v>2.940682680944918</v>
      </c>
      <c r="K288">
        <v>0</v>
      </c>
      <c r="L288">
        <v>0</v>
      </c>
      <c r="M288">
        <v>2.940682680944918</v>
      </c>
      <c r="N288">
        <v>1</v>
      </c>
    </row>
    <row r="289" spans="9:14" x14ac:dyDescent="0.3">
      <c r="I289">
        <v>286</v>
      </c>
      <c r="J289">
        <v>2.421047795260737</v>
      </c>
      <c r="K289">
        <v>0</v>
      </c>
      <c r="L289">
        <v>0</v>
      </c>
      <c r="M289">
        <v>2.421047795260737</v>
      </c>
      <c r="N289">
        <v>1</v>
      </c>
    </row>
    <row r="290" spans="9:14" x14ac:dyDescent="0.3">
      <c r="I290">
        <v>287</v>
      </c>
      <c r="J290">
        <v>3.974184806164212</v>
      </c>
      <c r="K290">
        <v>0</v>
      </c>
      <c r="L290">
        <v>0</v>
      </c>
      <c r="M290">
        <v>3.974184806164212</v>
      </c>
      <c r="N290">
        <v>0</v>
      </c>
    </row>
    <row r="291" spans="9:14" x14ac:dyDescent="0.3">
      <c r="I291">
        <v>288</v>
      </c>
      <c r="J291">
        <v>2.69222656532544</v>
      </c>
      <c r="K291">
        <v>0</v>
      </c>
      <c r="L291">
        <v>0</v>
      </c>
      <c r="M291">
        <v>2.69222656532544</v>
      </c>
      <c r="N291">
        <v>1</v>
      </c>
    </row>
    <row r="292" spans="9:14" x14ac:dyDescent="0.3">
      <c r="I292">
        <v>289</v>
      </c>
      <c r="J292">
        <v>2.849408213179454</v>
      </c>
      <c r="K292">
        <v>0</v>
      </c>
      <c r="L292">
        <v>0</v>
      </c>
      <c r="M292">
        <v>2.849408213179454</v>
      </c>
      <c r="N292">
        <v>1</v>
      </c>
    </row>
    <row r="293" spans="9:14" x14ac:dyDescent="0.3">
      <c r="I293">
        <v>290</v>
      </c>
      <c r="J293">
        <v>2.4939693644197769</v>
      </c>
      <c r="K293">
        <v>0</v>
      </c>
      <c r="L293">
        <v>0</v>
      </c>
      <c r="M293">
        <v>2.4939693644197769</v>
      </c>
      <c r="N293">
        <v>1</v>
      </c>
    </row>
    <row r="294" spans="9:14" x14ac:dyDescent="0.3">
      <c r="I294">
        <v>291</v>
      </c>
      <c r="J294">
        <v>2.8158164917225901</v>
      </c>
      <c r="K294">
        <v>0</v>
      </c>
      <c r="L294">
        <v>0</v>
      </c>
      <c r="M294">
        <v>2.8158164917225901</v>
      </c>
      <c r="N294">
        <v>1</v>
      </c>
    </row>
    <row r="295" spans="9:14" x14ac:dyDescent="0.3">
      <c r="I295">
        <v>292</v>
      </c>
      <c r="J295">
        <v>2.3740596807361678</v>
      </c>
      <c r="K295">
        <v>0</v>
      </c>
      <c r="L295">
        <v>0</v>
      </c>
      <c r="M295">
        <v>2.3740596807361678</v>
      </c>
      <c r="N295">
        <v>1</v>
      </c>
    </row>
    <row r="296" spans="9:14" x14ac:dyDescent="0.3">
      <c r="I296">
        <v>293</v>
      </c>
      <c r="J296">
        <v>2.607817132210879</v>
      </c>
      <c r="K296">
        <v>0</v>
      </c>
      <c r="L296">
        <v>0</v>
      </c>
      <c r="M296">
        <v>2.607817132210879</v>
      </c>
      <c r="N296">
        <v>1</v>
      </c>
    </row>
    <row r="297" spans="9:14" x14ac:dyDescent="0.3">
      <c r="I297">
        <v>294</v>
      </c>
      <c r="J297">
        <v>2.8287274820646862</v>
      </c>
      <c r="K297">
        <v>0</v>
      </c>
      <c r="L297">
        <v>0</v>
      </c>
      <c r="M297">
        <v>2.8287274820646862</v>
      </c>
      <c r="N297">
        <v>1</v>
      </c>
    </row>
    <row r="298" spans="9:14" x14ac:dyDescent="0.3">
      <c r="I298">
        <v>295</v>
      </c>
      <c r="J298">
        <v>2.3053767996843901</v>
      </c>
      <c r="K298">
        <v>0</v>
      </c>
      <c r="L298">
        <v>0</v>
      </c>
      <c r="M298">
        <v>2.3053767996843901</v>
      </c>
      <c r="N298">
        <v>1</v>
      </c>
    </row>
    <row r="299" spans="9:14" x14ac:dyDescent="0.3">
      <c r="I299">
        <v>296</v>
      </c>
      <c r="J299">
        <v>3.2903437253420411</v>
      </c>
      <c r="K299">
        <v>1</v>
      </c>
      <c r="L299">
        <v>1.755627120949949</v>
      </c>
      <c r="M299">
        <v>5.0459708462919899</v>
      </c>
      <c r="N299">
        <v>0</v>
      </c>
    </row>
    <row r="300" spans="9:14" x14ac:dyDescent="0.3">
      <c r="I300">
        <v>297</v>
      </c>
      <c r="J300">
        <v>2.5666459196354752</v>
      </c>
      <c r="K300">
        <v>0</v>
      </c>
      <c r="L300">
        <v>0</v>
      </c>
      <c r="M300">
        <v>2.5666459196354752</v>
      </c>
      <c r="N300">
        <v>1</v>
      </c>
    </row>
    <row r="301" spans="9:14" x14ac:dyDescent="0.3">
      <c r="I301">
        <v>298</v>
      </c>
      <c r="J301">
        <v>3.7284196838225858</v>
      </c>
      <c r="K301">
        <v>0</v>
      </c>
      <c r="L301">
        <v>0</v>
      </c>
      <c r="M301">
        <v>3.7284196838225858</v>
      </c>
      <c r="N301">
        <v>0</v>
      </c>
    </row>
    <row r="302" spans="9:14" x14ac:dyDescent="0.3">
      <c r="I302">
        <v>299</v>
      </c>
      <c r="J302">
        <v>2.4326984636991771</v>
      </c>
      <c r="K302">
        <v>0</v>
      </c>
      <c r="L302">
        <v>0</v>
      </c>
      <c r="M302">
        <v>2.4326984636991771</v>
      </c>
      <c r="N302">
        <v>1</v>
      </c>
    </row>
    <row r="303" spans="9:14" x14ac:dyDescent="0.3">
      <c r="I303">
        <v>300</v>
      </c>
      <c r="J303">
        <v>2.7032852706645651</v>
      </c>
      <c r="K303">
        <v>0</v>
      </c>
      <c r="L303">
        <v>0</v>
      </c>
      <c r="M303">
        <v>2.7032852706645651</v>
      </c>
      <c r="N303">
        <v>1</v>
      </c>
    </row>
    <row r="304" spans="9:14" x14ac:dyDescent="0.3">
      <c r="I304">
        <v>301</v>
      </c>
      <c r="J304">
        <v>3.034733693393957</v>
      </c>
      <c r="K304">
        <v>1</v>
      </c>
      <c r="L304">
        <v>1.5224948393434341</v>
      </c>
      <c r="M304">
        <v>4.5572285327373914</v>
      </c>
      <c r="N304">
        <v>0</v>
      </c>
    </row>
    <row r="305" spans="9:14" x14ac:dyDescent="0.3">
      <c r="I305">
        <v>302</v>
      </c>
      <c r="J305">
        <v>2.8186548820983299</v>
      </c>
      <c r="K305">
        <v>0</v>
      </c>
      <c r="L305">
        <v>0</v>
      </c>
      <c r="M305">
        <v>2.8186548820983299</v>
      </c>
      <c r="N305">
        <v>1</v>
      </c>
    </row>
    <row r="306" spans="9:14" x14ac:dyDescent="0.3">
      <c r="I306">
        <v>303</v>
      </c>
      <c r="J306">
        <v>3.1883752427596779</v>
      </c>
      <c r="K306">
        <v>0</v>
      </c>
      <c r="L306">
        <v>0</v>
      </c>
      <c r="M306">
        <v>3.1883752427596779</v>
      </c>
      <c r="N306">
        <v>0</v>
      </c>
    </row>
    <row r="307" spans="9:14" x14ac:dyDescent="0.3">
      <c r="I307">
        <v>304</v>
      </c>
      <c r="J307">
        <v>2.5122004305203829</v>
      </c>
      <c r="K307">
        <v>0</v>
      </c>
      <c r="L307">
        <v>0</v>
      </c>
      <c r="M307">
        <v>2.5122004305203829</v>
      </c>
      <c r="N307">
        <v>1</v>
      </c>
    </row>
    <row r="308" spans="9:14" x14ac:dyDescent="0.3">
      <c r="I308">
        <v>305</v>
      </c>
      <c r="J308">
        <v>2.858768269838651</v>
      </c>
      <c r="K308">
        <v>0</v>
      </c>
      <c r="L308">
        <v>0</v>
      </c>
      <c r="M308">
        <v>2.858768269838651</v>
      </c>
      <c r="N308">
        <v>1</v>
      </c>
    </row>
    <row r="309" spans="9:14" x14ac:dyDescent="0.3">
      <c r="I309">
        <v>306</v>
      </c>
      <c r="J309">
        <v>2.6148650889915221</v>
      </c>
      <c r="K309">
        <v>0</v>
      </c>
      <c r="L309">
        <v>0</v>
      </c>
      <c r="M309">
        <v>2.6148650889915221</v>
      </c>
      <c r="N309">
        <v>1</v>
      </c>
    </row>
    <row r="310" spans="9:14" x14ac:dyDescent="0.3">
      <c r="I310">
        <v>307</v>
      </c>
      <c r="J310">
        <v>3.5744176018961151</v>
      </c>
      <c r="K310">
        <v>0</v>
      </c>
      <c r="L310">
        <v>0</v>
      </c>
      <c r="M310">
        <v>3.5744176018961151</v>
      </c>
      <c r="N310">
        <v>0</v>
      </c>
    </row>
    <row r="311" spans="9:14" x14ac:dyDescent="0.3">
      <c r="I311">
        <v>308</v>
      </c>
      <c r="J311">
        <v>3.7357462083815598</v>
      </c>
      <c r="K311">
        <v>0</v>
      </c>
      <c r="L311">
        <v>0</v>
      </c>
      <c r="M311">
        <v>3.7357462083815598</v>
      </c>
      <c r="N311">
        <v>0</v>
      </c>
    </row>
    <row r="312" spans="9:14" x14ac:dyDescent="0.3">
      <c r="I312">
        <v>309</v>
      </c>
      <c r="J312">
        <v>3.1505932496523399</v>
      </c>
      <c r="K312">
        <v>0</v>
      </c>
      <c r="L312">
        <v>0</v>
      </c>
      <c r="M312">
        <v>3.1505932496523399</v>
      </c>
      <c r="N312">
        <v>0</v>
      </c>
    </row>
    <row r="313" spans="9:14" x14ac:dyDescent="0.3">
      <c r="I313">
        <v>310</v>
      </c>
      <c r="J313">
        <v>2.5454448110725618</v>
      </c>
      <c r="K313">
        <v>0</v>
      </c>
      <c r="L313">
        <v>0</v>
      </c>
      <c r="M313">
        <v>2.5454448110725618</v>
      </c>
      <c r="N313">
        <v>1</v>
      </c>
    </row>
    <row r="314" spans="9:14" x14ac:dyDescent="0.3">
      <c r="I314">
        <v>311</v>
      </c>
      <c r="J314">
        <v>2.793414287344909</v>
      </c>
      <c r="K314">
        <v>0</v>
      </c>
      <c r="L314">
        <v>0</v>
      </c>
      <c r="M314">
        <v>2.793414287344909</v>
      </c>
      <c r="N314">
        <v>1</v>
      </c>
    </row>
    <row r="315" spans="9:14" x14ac:dyDescent="0.3">
      <c r="I315">
        <v>312</v>
      </c>
      <c r="J315">
        <v>2.8871924008722099</v>
      </c>
      <c r="K315">
        <v>0</v>
      </c>
      <c r="L315">
        <v>0</v>
      </c>
      <c r="M315">
        <v>2.8871924008722099</v>
      </c>
      <c r="N315">
        <v>1</v>
      </c>
    </row>
    <row r="316" spans="9:14" x14ac:dyDescent="0.3">
      <c r="I316">
        <v>313</v>
      </c>
      <c r="J316">
        <v>2.499216692001343</v>
      </c>
      <c r="K316">
        <v>0</v>
      </c>
      <c r="L316">
        <v>0</v>
      </c>
      <c r="M316">
        <v>2.499216692001343</v>
      </c>
      <c r="N316">
        <v>1</v>
      </c>
    </row>
    <row r="317" spans="9:14" x14ac:dyDescent="0.3">
      <c r="I317">
        <v>314</v>
      </c>
      <c r="J317">
        <v>2.7971930727377918</v>
      </c>
      <c r="K317">
        <v>0</v>
      </c>
      <c r="L317">
        <v>0</v>
      </c>
      <c r="M317">
        <v>2.7971930727377918</v>
      </c>
      <c r="N317">
        <v>1</v>
      </c>
    </row>
    <row r="318" spans="9:14" x14ac:dyDescent="0.3">
      <c r="I318">
        <v>315</v>
      </c>
      <c r="J318">
        <v>2.4052886150788289</v>
      </c>
      <c r="K318">
        <v>0</v>
      </c>
      <c r="L318">
        <v>0</v>
      </c>
      <c r="M318">
        <v>2.4052886150788289</v>
      </c>
      <c r="N318">
        <v>1</v>
      </c>
    </row>
    <row r="319" spans="9:14" x14ac:dyDescent="0.3">
      <c r="I319">
        <v>316</v>
      </c>
      <c r="J319">
        <v>3.61103567686038</v>
      </c>
      <c r="K319">
        <v>0</v>
      </c>
      <c r="L319">
        <v>0</v>
      </c>
      <c r="M319">
        <v>3.61103567686038</v>
      </c>
      <c r="N319">
        <v>0</v>
      </c>
    </row>
    <row r="320" spans="9:14" x14ac:dyDescent="0.3">
      <c r="I320">
        <v>317</v>
      </c>
      <c r="J320">
        <v>3.1829924897732029</v>
      </c>
      <c r="K320">
        <v>0</v>
      </c>
      <c r="L320">
        <v>0</v>
      </c>
      <c r="M320">
        <v>3.1829924897732029</v>
      </c>
      <c r="N320">
        <v>0</v>
      </c>
    </row>
    <row r="321" spans="9:14" x14ac:dyDescent="0.3">
      <c r="I321">
        <v>318</v>
      </c>
      <c r="J321">
        <v>3.095059632384098</v>
      </c>
      <c r="K321">
        <v>0</v>
      </c>
      <c r="L321">
        <v>0</v>
      </c>
      <c r="M321">
        <v>3.095059632384098</v>
      </c>
      <c r="N321">
        <v>0</v>
      </c>
    </row>
    <row r="322" spans="9:14" x14ac:dyDescent="0.3">
      <c r="I322">
        <v>319</v>
      </c>
      <c r="J322">
        <v>3.4582391339715319</v>
      </c>
      <c r="K322">
        <v>0</v>
      </c>
      <c r="L322">
        <v>0</v>
      </c>
      <c r="M322">
        <v>3.4582391339715319</v>
      </c>
      <c r="N322">
        <v>0</v>
      </c>
    </row>
    <row r="323" spans="9:14" x14ac:dyDescent="0.3">
      <c r="I323">
        <v>320</v>
      </c>
      <c r="J323">
        <v>3.0859561124425992</v>
      </c>
      <c r="K323">
        <v>0</v>
      </c>
      <c r="L323">
        <v>0</v>
      </c>
      <c r="M323">
        <v>3.0859561124425992</v>
      </c>
      <c r="N323">
        <v>0</v>
      </c>
    </row>
    <row r="324" spans="9:14" x14ac:dyDescent="0.3">
      <c r="I324">
        <v>321</v>
      </c>
      <c r="J324">
        <v>2.912704996545759</v>
      </c>
      <c r="K324">
        <v>0</v>
      </c>
      <c r="L324">
        <v>0</v>
      </c>
      <c r="M324">
        <v>2.912704996545759</v>
      </c>
      <c r="N324">
        <v>1</v>
      </c>
    </row>
    <row r="325" spans="9:14" x14ac:dyDescent="0.3">
      <c r="I325">
        <v>322</v>
      </c>
      <c r="J325">
        <v>2.690363802576206</v>
      </c>
      <c r="K325">
        <v>1</v>
      </c>
      <c r="L325">
        <v>1.577312159851477</v>
      </c>
      <c r="M325">
        <v>4.267675962427683</v>
      </c>
      <c r="N325">
        <v>0</v>
      </c>
    </row>
    <row r="326" spans="9:14" x14ac:dyDescent="0.3">
      <c r="I326">
        <v>323</v>
      </c>
      <c r="J326">
        <v>2.740858161865575</v>
      </c>
      <c r="K326">
        <v>0</v>
      </c>
      <c r="L326">
        <v>0</v>
      </c>
      <c r="M326">
        <v>2.740858161865575</v>
      </c>
      <c r="N326">
        <v>1</v>
      </c>
    </row>
    <row r="327" spans="9:14" x14ac:dyDescent="0.3">
      <c r="I327">
        <v>324</v>
      </c>
      <c r="J327">
        <v>2.7533388711400919</v>
      </c>
      <c r="K327">
        <v>0</v>
      </c>
      <c r="L327">
        <v>0</v>
      </c>
      <c r="M327">
        <v>2.7533388711400919</v>
      </c>
      <c r="N327">
        <v>1</v>
      </c>
    </row>
    <row r="328" spans="9:14" x14ac:dyDescent="0.3">
      <c r="I328">
        <v>325</v>
      </c>
      <c r="J328">
        <v>2.5038019402847129</v>
      </c>
      <c r="K328">
        <v>0</v>
      </c>
      <c r="L328">
        <v>0</v>
      </c>
      <c r="M328">
        <v>2.5038019402847129</v>
      </c>
      <c r="N328">
        <v>1</v>
      </c>
    </row>
    <row r="329" spans="9:14" x14ac:dyDescent="0.3">
      <c r="I329">
        <v>326</v>
      </c>
      <c r="J329">
        <v>3.3670072338876968</v>
      </c>
      <c r="K329">
        <v>0</v>
      </c>
      <c r="L329">
        <v>0</v>
      </c>
      <c r="M329">
        <v>3.3670072338876968</v>
      </c>
      <c r="N329">
        <v>0</v>
      </c>
    </row>
    <row r="330" spans="9:14" x14ac:dyDescent="0.3">
      <c r="I330">
        <v>327</v>
      </c>
      <c r="J330">
        <v>2.8909388760735868</v>
      </c>
      <c r="K330">
        <v>0</v>
      </c>
      <c r="L330">
        <v>0</v>
      </c>
      <c r="M330">
        <v>2.8909388760735868</v>
      </c>
      <c r="N330">
        <v>1</v>
      </c>
    </row>
    <row r="331" spans="9:14" x14ac:dyDescent="0.3">
      <c r="I331">
        <v>328</v>
      </c>
      <c r="J331">
        <v>3.2464737862466242</v>
      </c>
      <c r="K331">
        <v>1</v>
      </c>
      <c r="L331">
        <v>1.872347673807319</v>
      </c>
      <c r="M331">
        <v>5.118821460053943</v>
      </c>
      <c r="N331">
        <v>0</v>
      </c>
    </row>
    <row r="332" spans="9:14" x14ac:dyDescent="0.3">
      <c r="I332">
        <v>329</v>
      </c>
      <c r="J332">
        <v>2.534802046050955</v>
      </c>
      <c r="K332">
        <v>0</v>
      </c>
      <c r="L332">
        <v>0</v>
      </c>
      <c r="M332">
        <v>2.534802046050955</v>
      </c>
      <c r="N332">
        <v>1</v>
      </c>
    </row>
    <row r="333" spans="9:14" x14ac:dyDescent="0.3">
      <c r="I333">
        <v>330</v>
      </c>
      <c r="J333">
        <v>2.9687810394783818</v>
      </c>
      <c r="K333">
        <v>0</v>
      </c>
      <c r="L333">
        <v>0</v>
      </c>
      <c r="M333">
        <v>2.9687810394783818</v>
      </c>
      <c r="N333">
        <v>1</v>
      </c>
    </row>
    <row r="334" spans="9:14" x14ac:dyDescent="0.3">
      <c r="I334">
        <v>331</v>
      </c>
      <c r="J334">
        <v>2.9393510973254591</v>
      </c>
      <c r="K334">
        <v>0</v>
      </c>
      <c r="L334">
        <v>0</v>
      </c>
      <c r="M334">
        <v>2.9393510973254591</v>
      </c>
      <c r="N334">
        <v>1</v>
      </c>
    </row>
    <row r="335" spans="9:14" x14ac:dyDescent="0.3">
      <c r="I335">
        <v>332</v>
      </c>
      <c r="J335">
        <v>3.2642457479650751</v>
      </c>
      <c r="K335">
        <v>0</v>
      </c>
      <c r="L335">
        <v>0</v>
      </c>
      <c r="M335">
        <v>3.2642457479650751</v>
      </c>
      <c r="N335">
        <v>0</v>
      </c>
    </row>
    <row r="336" spans="9:14" x14ac:dyDescent="0.3">
      <c r="I336">
        <v>333</v>
      </c>
      <c r="J336">
        <v>2.9661523668766709</v>
      </c>
      <c r="K336">
        <v>0</v>
      </c>
      <c r="L336">
        <v>0</v>
      </c>
      <c r="M336">
        <v>2.9661523668766709</v>
      </c>
      <c r="N336">
        <v>1</v>
      </c>
    </row>
    <row r="337" spans="9:14" x14ac:dyDescent="0.3">
      <c r="I337">
        <v>334</v>
      </c>
      <c r="J337">
        <v>3.5194552832876842</v>
      </c>
      <c r="K337">
        <v>0</v>
      </c>
      <c r="L337">
        <v>0</v>
      </c>
      <c r="M337">
        <v>3.5194552832876842</v>
      </c>
      <c r="N337">
        <v>0</v>
      </c>
    </row>
    <row r="338" spans="9:14" x14ac:dyDescent="0.3">
      <c r="I338">
        <v>335</v>
      </c>
      <c r="J338">
        <v>2.3726756639324602</v>
      </c>
      <c r="K338">
        <v>1</v>
      </c>
      <c r="L338">
        <v>1.3648718154072019</v>
      </c>
      <c r="M338">
        <v>3.7375474793396619</v>
      </c>
      <c r="N338">
        <v>0</v>
      </c>
    </row>
    <row r="339" spans="9:14" x14ac:dyDescent="0.3">
      <c r="I339">
        <v>336</v>
      </c>
      <c r="J339">
        <v>2.7379698157013141</v>
      </c>
      <c r="K339">
        <v>0</v>
      </c>
      <c r="L339">
        <v>0</v>
      </c>
      <c r="M339">
        <v>2.7379698157013141</v>
      </c>
      <c r="N339">
        <v>1</v>
      </c>
    </row>
    <row r="340" spans="9:14" x14ac:dyDescent="0.3">
      <c r="I340">
        <v>337</v>
      </c>
      <c r="J340">
        <v>3.5729354951910368</v>
      </c>
      <c r="K340">
        <v>0</v>
      </c>
      <c r="L340">
        <v>0</v>
      </c>
      <c r="M340">
        <v>3.5729354951910368</v>
      </c>
      <c r="N340">
        <v>0</v>
      </c>
    </row>
    <row r="341" spans="9:14" x14ac:dyDescent="0.3">
      <c r="I341">
        <v>338</v>
      </c>
      <c r="J341">
        <v>2.9612980358181011</v>
      </c>
      <c r="K341">
        <v>0</v>
      </c>
      <c r="L341">
        <v>0</v>
      </c>
      <c r="M341">
        <v>2.9612980358181011</v>
      </c>
      <c r="N341">
        <v>1</v>
      </c>
    </row>
    <row r="342" spans="9:14" x14ac:dyDescent="0.3">
      <c r="I342">
        <v>339</v>
      </c>
      <c r="J342">
        <v>3.3987181824502239</v>
      </c>
      <c r="K342">
        <v>0</v>
      </c>
      <c r="L342">
        <v>0</v>
      </c>
      <c r="M342">
        <v>3.3987181824502239</v>
      </c>
      <c r="N342">
        <v>0</v>
      </c>
    </row>
    <row r="343" spans="9:14" x14ac:dyDescent="0.3">
      <c r="I343">
        <v>340</v>
      </c>
      <c r="J343">
        <v>2.6252596430582131</v>
      </c>
      <c r="K343">
        <v>0</v>
      </c>
      <c r="L343">
        <v>0</v>
      </c>
      <c r="M343">
        <v>2.6252596430582131</v>
      </c>
      <c r="N343">
        <v>1</v>
      </c>
    </row>
    <row r="344" spans="9:14" x14ac:dyDescent="0.3">
      <c r="I344">
        <v>341</v>
      </c>
      <c r="J344">
        <v>2.2745076554763339</v>
      </c>
      <c r="K344">
        <v>0</v>
      </c>
      <c r="L344">
        <v>0</v>
      </c>
      <c r="M344">
        <v>2.2745076554763339</v>
      </c>
      <c r="N344">
        <v>1</v>
      </c>
    </row>
    <row r="345" spans="9:14" x14ac:dyDescent="0.3">
      <c r="I345">
        <v>342</v>
      </c>
      <c r="J345">
        <v>2.919912619897914</v>
      </c>
      <c r="K345">
        <v>0</v>
      </c>
      <c r="L345">
        <v>0</v>
      </c>
      <c r="M345">
        <v>2.919912619897914</v>
      </c>
      <c r="N345">
        <v>1</v>
      </c>
    </row>
    <row r="346" spans="9:14" x14ac:dyDescent="0.3">
      <c r="I346">
        <v>343</v>
      </c>
      <c r="J346">
        <v>2.2776214958598451</v>
      </c>
      <c r="K346">
        <v>0</v>
      </c>
      <c r="L346">
        <v>0</v>
      </c>
      <c r="M346">
        <v>2.2776214958598451</v>
      </c>
      <c r="N346">
        <v>1</v>
      </c>
    </row>
    <row r="347" spans="9:14" x14ac:dyDescent="0.3">
      <c r="I347">
        <v>344</v>
      </c>
      <c r="J347">
        <v>3.3874228999816109</v>
      </c>
      <c r="K347">
        <v>0</v>
      </c>
      <c r="L347">
        <v>0</v>
      </c>
      <c r="M347">
        <v>3.3874228999816109</v>
      </c>
      <c r="N347">
        <v>0</v>
      </c>
    </row>
    <row r="348" spans="9:14" x14ac:dyDescent="0.3">
      <c r="I348">
        <v>345</v>
      </c>
      <c r="J348">
        <v>3.147798232744663</v>
      </c>
      <c r="K348">
        <v>0</v>
      </c>
      <c r="L348">
        <v>0</v>
      </c>
      <c r="M348">
        <v>3.147798232744663</v>
      </c>
      <c r="N348">
        <v>0</v>
      </c>
    </row>
    <row r="349" spans="9:14" x14ac:dyDescent="0.3">
      <c r="I349">
        <v>346</v>
      </c>
      <c r="J349">
        <v>3.2977902681571658</v>
      </c>
      <c r="K349">
        <v>0</v>
      </c>
      <c r="L349">
        <v>0</v>
      </c>
      <c r="M349">
        <v>3.2977902681571658</v>
      </c>
      <c r="N349">
        <v>0</v>
      </c>
    </row>
    <row r="350" spans="9:14" x14ac:dyDescent="0.3">
      <c r="I350">
        <v>347</v>
      </c>
      <c r="J350">
        <v>2.7295779730201422</v>
      </c>
      <c r="K350">
        <v>0</v>
      </c>
      <c r="L350">
        <v>0</v>
      </c>
      <c r="M350">
        <v>2.7295779730201422</v>
      </c>
      <c r="N350">
        <v>1</v>
      </c>
    </row>
    <row r="351" spans="9:14" x14ac:dyDescent="0.3">
      <c r="I351">
        <v>348</v>
      </c>
      <c r="J351">
        <v>2.893181566579011</v>
      </c>
      <c r="K351">
        <v>0</v>
      </c>
      <c r="L351">
        <v>0</v>
      </c>
      <c r="M351">
        <v>2.893181566579011</v>
      </c>
      <c r="N351">
        <v>1</v>
      </c>
    </row>
    <row r="352" spans="9:14" x14ac:dyDescent="0.3">
      <c r="I352">
        <v>349</v>
      </c>
      <c r="J352">
        <v>3.5170940560651309</v>
      </c>
      <c r="K352">
        <v>0</v>
      </c>
      <c r="L352">
        <v>0</v>
      </c>
      <c r="M352">
        <v>3.5170940560651309</v>
      </c>
      <c r="N352">
        <v>0</v>
      </c>
    </row>
    <row r="353" spans="9:14" x14ac:dyDescent="0.3">
      <c r="I353">
        <v>350</v>
      </c>
      <c r="J353">
        <v>2.9640679779489818</v>
      </c>
      <c r="K353">
        <v>0</v>
      </c>
      <c r="L353">
        <v>0</v>
      </c>
      <c r="M353">
        <v>2.9640679779489818</v>
      </c>
      <c r="N353">
        <v>1</v>
      </c>
    </row>
    <row r="354" spans="9:14" x14ac:dyDescent="0.3">
      <c r="I354">
        <v>351</v>
      </c>
      <c r="J354">
        <v>3.3404849215334051</v>
      </c>
      <c r="K354">
        <v>0</v>
      </c>
      <c r="L354">
        <v>0</v>
      </c>
      <c r="M354">
        <v>3.3404849215334051</v>
      </c>
      <c r="N354">
        <v>0</v>
      </c>
    </row>
    <row r="355" spans="9:14" x14ac:dyDescent="0.3">
      <c r="I355">
        <v>352</v>
      </c>
      <c r="J355">
        <v>3.2152904304269661</v>
      </c>
      <c r="K355">
        <v>0</v>
      </c>
      <c r="L355">
        <v>0</v>
      </c>
      <c r="M355">
        <v>3.2152904304269661</v>
      </c>
      <c r="N355">
        <v>0</v>
      </c>
    </row>
    <row r="356" spans="9:14" x14ac:dyDescent="0.3">
      <c r="I356">
        <v>353</v>
      </c>
      <c r="J356">
        <v>3.417470626903794</v>
      </c>
      <c r="K356">
        <v>0</v>
      </c>
      <c r="L356">
        <v>0</v>
      </c>
      <c r="M356">
        <v>3.417470626903794</v>
      </c>
      <c r="N356">
        <v>0</v>
      </c>
    </row>
    <row r="357" spans="9:14" x14ac:dyDescent="0.3">
      <c r="I357">
        <v>354</v>
      </c>
      <c r="J357">
        <v>2.7797319043830448</v>
      </c>
      <c r="K357">
        <v>0</v>
      </c>
      <c r="L357">
        <v>0</v>
      </c>
      <c r="M357">
        <v>2.7797319043830448</v>
      </c>
      <c r="N357">
        <v>1</v>
      </c>
    </row>
    <row r="358" spans="9:14" x14ac:dyDescent="0.3">
      <c r="I358">
        <v>355</v>
      </c>
      <c r="J358">
        <v>3.0725140526310759</v>
      </c>
      <c r="K358">
        <v>1</v>
      </c>
      <c r="L358">
        <v>1.888040639727528</v>
      </c>
      <c r="M358">
        <v>4.9605546923586044</v>
      </c>
      <c r="N358">
        <v>0</v>
      </c>
    </row>
    <row r="359" spans="9:14" x14ac:dyDescent="0.3">
      <c r="I359">
        <v>356</v>
      </c>
      <c r="J359">
        <v>2.637568523982678</v>
      </c>
      <c r="K359">
        <v>0</v>
      </c>
      <c r="L359">
        <v>0</v>
      </c>
      <c r="M359">
        <v>2.637568523982678</v>
      </c>
      <c r="N359">
        <v>1</v>
      </c>
    </row>
    <row r="360" spans="9:14" x14ac:dyDescent="0.3">
      <c r="I360">
        <v>357</v>
      </c>
      <c r="J360">
        <v>2.8189900885228618</v>
      </c>
      <c r="K360">
        <v>0</v>
      </c>
      <c r="L360">
        <v>0</v>
      </c>
      <c r="M360">
        <v>2.8189900885228618</v>
      </c>
      <c r="N360">
        <v>1</v>
      </c>
    </row>
    <row r="361" spans="9:14" x14ac:dyDescent="0.3">
      <c r="I361">
        <v>358</v>
      </c>
      <c r="J361">
        <v>3.063925215370785</v>
      </c>
      <c r="K361">
        <v>0</v>
      </c>
      <c r="L361">
        <v>0</v>
      </c>
      <c r="M361">
        <v>3.063925215370785</v>
      </c>
      <c r="N361">
        <v>0</v>
      </c>
    </row>
    <row r="362" spans="9:14" x14ac:dyDescent="0.3">
      <c r="I362">
        <v>359</v>
      </c>
      <c r="J362">
        <v>3.4541772554578829</v>
      </c>
      <c r="K362">
        <v>0</v>
      </c>
      <c r="L362">
        <v>0</v>
      </c>
      <c r="M362">
        <v>3.4541772554578829</v>
      </c>
      <c r="N362">
        <v>0</v>
      </c>
    </row>
    <row r="363" spans="9:14" x14ac:dyDescent="0.3">
      <c r="I363">
        <v>360</v>
      </c>
      <c r="J363">
        <v>3.400893651037102</v>
      </c>
      <c r="K363">
        <v>0</v>
      </c>
      <c r="L363">
        <v>0</v>
      </c>
      <c r="M363">
        <v>3.400893651037102</v>
      </c>
      <c r="N363">
        <v>0</v>
      </c>
    </row>
    <row r="364" spans="9:14" x14ac:dyDescent="0.3">
      <c r="I364">
        <v>361</v>
      </c>
      <c r="J364">
        <v>2.5441080540870882</v>
      </c>
      <c r="K364">
        <v>0</v>
      </c>
      <c r="L364">
        <v>0</v>
      </c>
      <c r="M364">
        <v>2.5441080540870882</v>
      </c>
      <c r="N364">
        <v>1</v>
      </c>
    </row>
    <row r="365" spans="9:14" x14ac:dyDescent="0.3">
      <c r="I365">
        <v>362</v>
      </c>
      <c r="J365">
        <v>3.4647904322062542</v>
      </c>
      <c r="K365">
        <v>0</v>
      </c>
      <c r="L365">
        <v>0</v>
      </c>
      <c r="M365">
        <v>3.4647904322062542</v>
      </c>
      <c r="N365">
        <v>0</v>
      </c>
    </row>
    <row r="366" spans="9:14" x14ac:dyDescent="0.3">
      <c r="I366">
        <v>363</v>
      </c>
      <c r="J366">
        <v>2.9697991339040701</v>
      </c>
      <c r="K366">
        <v>0</v>
      </c>
      <c r="L366">
        <v>0</v>
      </c>
      <c r="M366">
        <v>2.9697991339040701</v>
      </c>
      <c r="N366">
        <v>1</v>
      </c>
    </row>
    <row r="367" spans="9:14" x14ac:dyDescent="0.3">
      <c r="I367">
        <v>364</v>
      </c>
      <c r="J367">
        <v>3.062381276450385</v>
      </c>
      <c r="K367">
        <v>0</v>
      </c>
      <c r="L367">
        <v>0</v>
      </c>
      <c r="M367">
        <v>3.062381276450385</v>
      </c>
      <c r="N367">
        <v>0</v>
      </c>
    </row>
    <row r="368" spans="9:14" x14ac:dyDescent="0.3">
      <c r="I368">
        <v>365</v>
      </c>
      <c r="J368">
        <v>3.1698460211260189</v>
      </c>
      <c r="K368">
        <v>0</v>
      </c>
      <c r="L368">
        <v>0</v>
      </c>
      <c r="M368">
        <v>3.1698460211260189</v>
      </c>
      <c r="N368">
        <v>0</v>
      </c>
    </row>
    <row r="369" spans="9:14" x14ac:dyDescent="0.3">
      <c r="I369">
        <v>366</v>
      </c>
      <c r="J369">
        <v>3.6248354614202838</v>
      </c>
      <c r="K369">
        <v>0</v>
      </c>
      <c r="L369">
        <v>0</v>
      </c>
      <c r="M369">
        <v>3.6248354614202838</v>
      </c>
      <c r="N369">
        <v>0</v>
      </c>
    </row>
    <row r="370" spans="9:14" x14ac:dyDescent="0.3">
      <c r="I370">
        <v>367</v>
      </c>
      <c r="J370">
        <v>2.481703844072884</v>
      </c>
      <c r="K370">
        <v>0</v>
      </c>
      <c r="L370">
        <v>0</v>
      </c>
      <c r="M370">
        <v>2.481703844072884</v>
      </c>
      <c r="N370">
        <v>1</v>
      </c>
    </row>
    <row r="371" spans="9:14" x14ac:dyDescent="0.3">
      <c r="I371">
        <v>368</v>
      </c>
      <c r="J371">
        <v>3.391794509595448</v>
      </c>
      <c r="K371">
        <v>0</v>
      </c>
      <c r="L371">
        <v>0</v>
      </c>
      <c r="M371">
        <v>3.391794509595448</v>
      </c>
      <c r="N371">
        <v>0</v>
      </c>
    </row>
    <row r="372" spans="9:14" x14ac:dyDescent="0.3">
      <c r="I372">
        <v>369</v>
      </c>
      <c r="J372">
        <v>2.9430200895569909</v>
      </c>
      <c r="K372">
        <v>0</v>
      </c>
      <c r="L372">
        <v>0</v>
      </c>
      <c r="M372">
        <v>2.9430200895569909</v>
      </c>
      <c r="N372">
        <v>1</v>
      </c>
    </row>
    <row r="373" spans="9:14" x14ac:dyDescent="0.3">
      <c r="I373">
        <v>370</v>
      </c>
      <c r="J373">
        <v>3.003087219405268</v>
      </c>
      <c r="K373">
        <v>0</v>
      </c>
      <c r="L373">
        <v>0</v>
      </c>
      <c r="M373">
        <v>3.003087219405268</v>
      </c>
      <c r="N373">
        <v>0</v>
      </c>
    </row>
    <row r="374" spans="9:14" x14ac:dyDescent="0.3">
      <c r="I374">
        <v>371</v>
      </c>
      <c r="J374">
        <v>2.2125660193693242</v>
      </c>
      <c r="K374">
        <v>1</v>
      </c>
      <c r="L374">
        <v>1.02482972273563</v>
      </c>
      <c r="M374">
        <v>3.2373957421049542</v>
      </c>
      <c r="N374">
        <v>0</v>
      </c>
    </row>
    <row r="375" spans="9:14" x14ac:dyDescent="0.3">
      <c r="I375">
        <v>372</v>
      </c>
      <c r="J375">
        <v>3.341362537963549</v>
      </c>
      <c r="K375">
        <v>0</v>
      </c>
      <c r="L375">
        <v>0</v>
      </c>
      <c r="M375">
        <v>3.341362537963549</v>
      </c>
      <c r="N375">
        <v>0</v>
      </c>
    </row>
    <row r="376" spans="9:14" x14ac:dyDescent="0.3">
      <c r="I376">
        <v>373</v>
      </c>
      <c r="J376">
        <v>2.7866991690146632</v>
      </c>
      <c r="K376">
        <v>0</v>
      </c>
      <c r="L376">
        <v>0</v>
      </c>
      <c r="M376">
        <v>2.7866991690146632</v>
      </c>
      <c r="N376">
        <v>1</v>
      </c>
    </row>
    <row r="377" spans="9:14" x14ac:dyDescent="0.3">
      <c r="I377">
        <v>374</v>
      </c>
      <c r="J377">
        <v>3.0061875934670992</v>
      </c>
      <c r="K377">
        <v>1</v>
      </c>
      <c r="L377">
        <v>1.83887118590415</v>
      </c>
      <c r="M377">
        <v>4.8450587793712492</v>
      </c>
      <c r="N377">
        <v>0</v>
      </c>
    </row>
    <row r="378" spans="9:14" x14ac:dyDescent="0.3">
      <c r="I378">
        <v>375</v>
      </c>
      <c r="J378">
        <v>3.0996501431491512</v>
      </c>
      <c r="K378">
        <v>0</v>
      </c>
      <c r="L378">
        <v>0</v>
      </c>
      <c r="M378">
        <v>3.0996501431491512</v>
      </c>
      <c r="N378">
        <v>0</v>
      </c>
    </row>
    <row r="379" spans="9:14" x14ac:dyDescent="0.3">
      <c r="I379">
        <v>376</v>
      </c>
      <c r="J379">
        <v>2.607628775486571</v>
      </c>
      <c r="K379">
        <v>0</v>
      </c>
      <c r="L379">
        <v>0</v>
      </c>
      <c r="M379">
        <v>2.607628775486571</v>
      </c>
      <c r="N379">
        <v>1</v>
      </c>
    </row>
    <row r="380" spans="9:14" x14ac:dyDescent="0.3">
      <c r="I380">
        <v>377</v>
      </c>
      <c r="J380">
        <v>3.2122373661734231</v>
      </c>
      <c r="K380">
        <v>0</v>
      </c>
      <c r="L380">
        <v>0</v>
      </c>
      <c r="M380">
        <v>3.2122373661734231</v>
      </c>
      <c r="N380">
        <v>0</v>
      </c>
    </row>
    <row r="381" spans="9:14" x14ac:dyDescent="0.3">
      <c r="I381">
        <v>378</v>
      </c>
      <c r="J381">
        <v>3.197371546553105</v>
      </c>
      <c r="K381">
        <v>0</v>
      </c>
      <c r="L381">
        <v>0</v>
      </c>
      <c r="M381">
        <v>3.197371546553105</v>
      </c>
      <c r="N381">
        <v>0</v>
      </c>
    </row>
    <row r="382" spans="9:14" x14ac:dyDescent="0.3">
      <c r="I382">
        <v>379</v>
      </c>
      <c r="J382">
        <v>2.363447499003366</v>
      </c>
      <c r="K382">
        <v>0</v>
      </c>
      <c r="L382">
        <v>0</v>
      </c>
      <c r="M382">
        <v>2.363447499003366</v>
      </c>
      <c r="N382">
        <v>1</v>
      </c>
    </row>
    <row r="383" spans="9:14" x14ac:dyDescent="0.3">
      <c r="I383">
        <v>380</v>
      </c>
      <c r="J383">
        <v>2.5292615249316319</v>
      </c>
      <c r="K383">
        <v>0</v>
      </c>
      <c r="L383">
        <v>0</v>
      </c>
      <c r="M383">
        <v>2.5292615249316319</v>
      </c>
      <c r="N383">
        <v>1</v>
      </c>
    </row>
    <row r="384" spans="9:14" x14ac:dyDescent="0.3">
      <c r="I384">
        <v>381</v>
      </c>
      <c r="J384">
        <v>2.7650325949551071</v>
      </c>
      <c r="K384">
        <v>0</v>
      </c>
      <c r="L384">
        <v>0</v>
      </c>
      <c r="M384">
        <v>2.7650325949551071</v>
      </c>
      <c r="N384">
        <v>1</v>
      </c>
    </row>
    <row r="385" spans="9:14" x14ac:dyDescent="0.3">
      <c r="I385">
        <v>382</v>
      </c>
      <c r="J385">
        <v>2.5673538060024219</v>
      </c>
      <c r="K385">
        <v>0</v>
      </c>
      <c r="L385">
        <v>0</v>
      </c>
      <c r="M385">
        <v>2.5673538060024219</v>
      </c>
      <c r="N385">
        <v>1</v>
      </c>
    </row>
    <row r="386" spans="9:14" x14ac:dyDescent="0.3">
      <c r="I386">
        <v>383</v>
      </c>
      <c r="J386">
        <v>2.9230433073708388</v>
      </c>
      <c r="K386">
        <v>0</v>
      </c>
      <c r="L386">
        <v>0</v>
      </c>
      <c r="M386">
        <v>2.9230433073708388</v>
      </c>
      <c r="N386">
        <v>1</v>
      </c>
    </row>
    <row r="387" spans="9:14" x14ac:dyDescent="0.3">
      <c r="I387">
        <v>384</v>
      </c>
      <c r="J387">
        <v>2.9204686948815408</v>
      </c>
      <c r="K387">
        <v>1</v>
      </c>
      <c r="L387">
        <v>1.4478741328804301</v>
      </c>
      <c r="M387">
        <v>4.3683428277619711</v>
      </c>
      <c r="N387">
        <v>0</v>
      </c>
    </row>
    <row r="388" spans="9:14" x14ac:dyDescent="0.3">
      <c r="I388">
        <v>385</v>
      </c>
      <c r="J388">
        <v>3.3765889028102771</v>
      </c>
      <c r="K388">
        <v>0</v>
      </c>
      <c r="L388">
        <v>0</v>
      </c>
      <c r="M388">
        <v>3.3765889028102771</v>
      </c>
      <c r="N388">
        <v>0</v>
      </c>
    </row>
    <row r="389" spans="9:14" x14ac:dyDescent="0.3">
      <c r="I389">
        <v>386</v>
      </c>
      <c r="J389">
        <v>3.7501349382813882</v>
      </c>
      <c r="K389">
        <v>0</v>
      </c>
      <c r="L389">
        <v>0</v>
      </c>
      <c r="M389">
        <v>3.7501349382813882</v>
      </c>
      <c r="N389">
        <v>0</v>
      </c>
    </row>
    <row r="390" spans="9:14" x14ac:dyDescent="0.3">
      <c r="I390">
        <v>387</v>
      </c>
      <c r="J390">
        <v>2.8007123035162</v>
      </c>
      <c r="K390">
        <v>0</v>
      </c>
      <c r="L390">
        <v>0</v>
      </c>
      <c r="M390">
        <v>2.8007123035162</v>
      </c>
      <c r="N390">
        <v>1</v>
      </c>
    </row>
    <row r="391" spans="9:14" x14ac:dyDescent="0.3">
      <c r="I391">
        <v>388</v>
      </c>
      <c r="J391">
        <v>3.0285735033390262</v>
      </c>
      <c r="K391">
        <v>0</v>
      </c>
      <c r="L391">
        <v>0</v>
      </c>
      <c r="M391">
        <v>3.0285735033390262</v>
      </c>
      <c r="N391">
        <v>0</v>
      </c>
    </row>
    <row r="392" spans="9:14" x14ac:dyDescent="0.3">
      <c r="I392">
        <v>389</v>
      </c>
      <c r="J392">
        <v>3.1140263527173442</v>
      </c>
      <c r="K392">
        <v>0</v>
      </c>
      <c r="L392">
        <v>0</v>
      </c>
      <c r="M392">
        <v>3.1140263527173442</v>
      </c>
      <c r="N392">
        <v>0</v>
      </c>
    </row>
    <row r="393" spans="9:14" x14ac:dyDescent="0.3">
      <c r="I393">
        <v>390</v>
      </c>
      <c r="J393">
        <v>2.3965506682775941</v>
      </c>
      <c r="K393">
        <v>0</v>
      </c>
      <c r="L393">
        <v>0</v>
      </c>
      <c r="M393">
        <v>2.3965506682775941</v>
      </c>
      <c r="N393">
        <v>1</v>
      </c>
    </row>
    <row r="394" spans="9:14" x14ac:dyDescent="0.3">
      <c r="I394">
        <v>391</v>
      </c>
      <c r="J394">
        <v>3.3568633276126718</v>
      </c>
      <c r="K394">
        <v>0</v>
      </c>
      <c r="L394">
        <v>0</v>
      </c>
      <c r="M394">
        <v>3.3568633276126718</v>
      </c>
      <c r="N394">
        <v>0</v>
      </c>
    </row>
    <row r="395" spans="9:14" x14ac:dyDescent="0.3">
      <c r="I395">
        <v>392</v>
      </c>
      <c r="J395">
        <v>3.1102048954570511</v>
      </c>
      <c r="K395">
        <v>0</v>
      </c>
      <c r="L395">
        <v>0</v>
      </c>
      <c r="M395">
        <v>3.1102048954570511</v>
      </c>
      <c r="N395">
        <v>0</v>
      </c>
    </row>
    <row r="396" spans="9:14" x14ac:dyDescent="0.3">
      <c r="I396">
        <v>393</v>
      </c>
      <c r="J396">
        <v>3.0478850840300749</v>
      </c>
      <c r="K396">
        <v>0</v>
      </c>
      <c r="L396">
        <v>0</v>
      </c>
      <c r="M396">
        <v>3.0478850840300749</v>
      </c>
      <c r="N396">
        <v>0</v>
      </c>
    </row>
    <row r="397" spans="9:14" x14ac:dyDescent="0.3">
      <c r="I397">
        <v>394</v>
      </c>
      <c r="J397">
        <v>3.099524244307347</v>
      </c>
      <c r="K397">
        <v>1</v>
      </c>
      <c r="L397">
        <v>1.886939537261459</v>
      </c>
      <c r="M397">
        <v>4.9864637815688058</v>
      </c>
      <c r="N397">
        <v>0</v>
      </c>
    </row>
    <row r="398" spans="9:14" x14ac:dyDescent="0.3">
      <c r="I398">
        <v>395</v>
      </c>
      <c r="J398">
        <v>2.5249700189450608</v>
      </c>
      <c r="K398">
        <v>1</v>
      </c>
      <c r="L398">
        <v>1.455291245006517</v>
      </c>
      <c r="M398">
        <v>3.980261263951578</v>
      </c>
      <c r="N398">
        <v>0</v>
      </c>
    </row>
    <row r="399" spans="9:14" x14ac:dyDescent="0.3">
      <c r="I399">
        <v>396</v>
      </c>
      <c r="J399">
        <v>2.57239095786441</v>
      </c>
      <c r="K399">
        <v>0</v>
      </c>
      <c r="L399">
        <v>0</v>
      </c>
      <c r="M399">
        <v>2.57239095786441</v>
      </c>
      <c r="N399">
        <v>1</v>
      </c>
    </row>
    <row r="400" spans="9:14" x14ac:dyDescent="0.3">
      <c r="I400">
        <v>397</v>
      </c>
      <c r="J400">
        <v>3.8890312846493318</v>
      </c>
      <c r="K400">
        <v>0</v>
      </c>
      <c r="L400">
        <v>0</v>
      </c>
      <c r="M400">
        <v>3.8890312846493318</v>
      </c>
      <c r="N400">
        <v>0</v>
      </c>
    </row>
    <row r="401" spans="9:14" x14ac:dyDescent="0.3">
      <c r="I401">
        <v>398</v>
      </c>
      <c r="J401">
        <v>3.072089934677448</v>
      </c>
      <c r="K401">
        <v>0</v>
      </c>
      <c r="L401">
        <v>0</v>
      </c>
      <c r="M401">
        <v>3.072089934677448</v>
      </c>
      <c r="N401">
        <v>0</v>
      </c>
    </row>
    <row r="402" spans="9:14" x14ac:dyDescent="0.3">
      <c r="I402">
        <v>399</v>
      </c>
      <c r="J402">
        <v>2.9648677441173241</v>
      </c>
      <c r="K402">
        <v>1</v>
      </c>
      <c r="L402">
        <v>1.5902640895489299</v>
      </c>
      <c r="M402">
        <v>4.5551318336662554</v>
      </c>
      <c r="N402">
        <v>0</v>
      </c>
    </row>
    <row r="403" spans="9:14" x14ac:dyDescent="0.3">
      <c r="I403">
        <v>400</v>
      </c>
      <c r="J403">
        <v>2.9855307014990689</v>
      </c>
      <c r="K403">
        <v>1</v>
      </c>
      <c r="L403">
        <v>1.071195977026659</v>
      </c>
      <c r="M403">
        <v>4.0567266785257283</v>
      </c>
      <c r="N403">
        <v>0</v>
      </c>
    </row>
    <row r="404" spans="9:14" x14ac:dyDescent="0.3">
      <c r="I404">
        <v>401</v>
      </c>
      <c r="J404">
        <v>2.6051857008033519</v>
      </c>
      <c r="K404">
        <v>0</v>
      </c>
      <c r="L404">
        <v>0</v>
      </c>
      <c r="M404">
        <v>2.6051857008033519</v>
      </c>
      <c r="N404">
        <v>1</v>
      </c>
    </row>
    <row r="405" spans="9:14" x14ac:dyDescent="0.3">
      <c r="I405">
        <v>402</v>
      </c>
      <c r="J405">
        <v>2.6814941674898498</v>
      </c>
      <c r="K405">
        <v>0</v>
      </c>
      <c r="L405">
        <v>0</v>
      </c>
      <c r="M405">
        <v>2.6814941674898498</v>
      </c>
      <c r="N405">
        <v>1</v>
      </c>
    </row>
    <row r="406" spans="9:14" x14ac:dyDescent="0.3">
      <c r="I406">
        <v>403</v>
      </c>
      <c r="J406">
        <v>2.8759823613760309</v>
      </c>
      <c r="K406">
        <v>0</v>
      </c>
      <c r="L406">
        <v>0</v>
      </c>
      <c r="M406">
        <v>2.8759823613760309</v>
      </c>
      <c r="N406">
        <v>1</v>
      </c>
    </row>
    <row r="407" spans="9:14" x14ac:dyDescent="0.3">
      <c r="I407">
        <v>404</v>
      </c>
      <c r="J407">
        <v>3.2194201189549858</v>
      </c>
      <c r="K407">
        <v>1</v>
      </c>
      <c r="L407">
        <v>1.8939137661790399</v>
      </c>
      <c r="M407">
        <v>5.1133338851340264</v>
      </c>
      <c r="N407">
        <v>0</v>
      </c>
    </row>
    <row r="408" spans="9:14" x14ac:dyDescent="0.3">
      <c r="I408">
        <v>405</v>
      </c>
      <c r="J408">
        <v>2.70278295197603</v>
      </c>
      <c r="K408">
        <v>0</v>
      </c>
      <c r="L408">
        <v>0</v>
      </c>
      <c r="M408">
        <v>2.70278295197603</v>
      </c>
      <c r="N408">
        <v>1</v>
      </c>
    </row>
    <row r="409" spans="9:14" x14ac:dyDescent="0.3">
      <c r="I409">
        <v>406</v>
      </c>
      <c r="J409">
        <v>3.5274943002321382</v>
      </c>
      <c r="K409">
        <v>0</v>
      </c>
      <c r="L409">
        <v>0</v>
      </c>
      <c r="M409">
        <v>3.5274943002321382</v>
      </c>
      <c r="N409">
        <v>0</v>
      </c>
    </row>
    <row r="410" spans="9:14" x14ac:dyDescent="0.3">
      <c r="I410">
        <v>407</v>
      </c>
      <c r="J410">
        <v>2.7366852814940552</v>
      </c>
      <c r="K410">
        <v>0</v>
      </c>
      <c r="L410">
        <v>0</v>
      </c>
      <c r="M410">
        <v>2.7366852814940552</v>
      </c>
      <c r="N410">
        <v>1</v>
      </c>
    </row>
    <row r="411" spans="9:14" x14ac:dyDescent="0.3">
      <c r="I411">
        <v>408</v>
      </c>
      <c r="J411">
        <v>2.9243093592716751</v>
      </c>
      <c r="K411">
        <v>0</v>
      </c>
      <c r="L411">
        <v>0</v>
      </c>
      <c r="M411">
        <v>2.9243093592716751</v>
      </c>
      <c r="N411">
        <v>1</v>
      </c>
    </row>
    <row r="412" spans="9:14" x14ac:dyDescent="0.3">
      <c r="I412">
        <v>409</v>
      </c>
      <c r="J412">
        <v>3.3332233317639619</v>
      </c>
      <c r="K412">
        <v>1</v>
      </c>
      <c r="L412">
        <v>1.826837841918282</v>
      </c>
      <c r="M412">
        <v>5.1600611736822444</v>
      </c>
      <c r="N412">
        <v>0</v>
      </c>
    </row>
    <row r="413" spans="9:14" x14ac:dyDescent="0.3">
      <c r="I413">
        <v>410</v>
      </c>
      <c r="J413">
        <v>2.746283815924615</v>
      </c>
      <c r="K413">
        <v>0</v>
      </c>
      <c r="L413">
        <v>0</v>
      </c>
      <c r="M413">
        <v>2.746283815924615</v>
      </c>
      <c r="N413">
        <v>1</v>
      </c>
    </row>
    <row r="414" spans="9:14" x14ac:dyDescent="0.3">
      <c r="I414">
        <v>411</v>
      </c>
      <c r="J414">
        <v>2.5943064342804441</v>
      </c>
      <c r="K414">
        <v>0</v>
      </c>
      <c r="L414">
        <v>0</v>
      </c>
      <c r="M414">
        <v>2.5943064342804441</v>
      </c>
      <c r="N414">
        <v>1</v>
      </c>
    </row>
    <row r="415" spans="9:14" x14ac:dyDescent="0.3">
      <c r="I415">
        <v>412</v>
      </c>
      <c r="J415">
        <v>2.8134204368639479</v>
      </c>
      <c r="K415">
        <v>0</v>
      </c>
      <c r="L415">
        <v>0</v>
      </c>
      <c r="M415">
        <v>2.8134204368639479</v>
      </c>
      <c r="N415">
        <v>1</v>
      </c>
    </row>
    <row r="416" spans="9:14" x14ac:dyDescent="0.3">
      <c r="I416">
        <v>413</v>
      </c>
      <c r="J416">
        <v>3.6387733251000451</v>
      </c>
      <c r="K416">
        <v>1</v>
      </c>
      <c r="L416">
        <v>1.313799272296609</v>
      </c>
      <c r="M416">
        <v>4.9525725973966539</v>
      </c>
      <c r="N416">
        <v>0</v>
      </c>
    </row>
    <row r="417" spans="9:14" x14ac:dyDescent="0.3">
      <c r="I417">
        <v>414</v>
      </c>
      <c r="J417">
        <v>3.3705923374836111</v>
      </c>
      <c r="K417">
        <v>0</v>
      </c>
      <c r="L417">
        <v>0</v>
      </c>
      <c r="M417">
        <v>3.3705923374836111</v>
      </c>
      <c r="N417">
        <v>0</v>
      </c>
    </row>
    <row r="418" spans="9:14" x14ac:dyDescent="0.3">
      <c r="I418">
        <v>415</v>
      </c>
      <c r="J418">
        <v>3.2718532974872199</v>
      </c>
      <c r="K418">
        <v>1</v>
      </c>
      <c r="L418">
        <v>1.0059257014724701</v>
      </c>
      <c r="M418">
        <v>4.2777789989596897</v>
      </c>
      <c r="N418">
        <v>0</v>
      </c>
    </row>
    <row r="419" spans="9:14" x14ac:dyDescent="0.3">
      <c r="I419">
        <v>416</v>
      </c>
      <c r="J419">
        <v>3.2700206129772398</v>
      </c>
      <c r="K419">
        <v>0</v>
      </c>
      <c r="L419">
        <v>0</v>
      </c>
      <c r="M419">
        <v>3.2700206129772398</v>
      </c>
      <c r="N419">
        <v>0</v>
      </c>
    </row>
    <row r="420" spans="9:14" x14ac:dyDescent="0.3">
      <c r="I420">
        <v>417</v>
      </c>
      <c r="J420">
        <v>3.4597477217966088</v>
      </c>
      <c r="K420">
        <v>0</v>
      </c>
      <c r="L420">
        <v>0</v>
      </c>
      <c r="M420">
        <v>3.4597477217966088</v>
      </c>
      <c r="N420">
        <v>0</v>
      </c>
    </row>
    <row r="421" spans="9:14" x14ac:dyDescent="0.3">
      <c r="I421">
        <v>418</v>
      </c>
      <c r="J421">
        <v>3.0849190229743599</v>
      </c>
      <c r="K421">
        <v>0</v>
      </c>
      <c r="L421">
        <v>0</v>
      </c>
      <c r="M421">
        <v>3.0849190229743599</v>
      </c>
      <c r="N421">
        <v>0</v>
      </c>
    </row>
    <row r="422" spans="9:14" x14ac:dyDescent="0.3">
      <c r="I422">
        <v>419</v>
      </c>
      <c r="J422">
        <v>3.5289454854247402</v>
      </c>
      <c r="K422">
        <v>0</v>
      </c>
      <c r="L422">
        <v>0</v>
      </c>
      <c r="M422">
        <v>3.5289454854247402</v>
      </c>
      <c r="N422">
        <v>0</v>
      </c>
    </row>
    <row r="423" spans="9:14" x14ac:dyDescent="0.3">
      <c r="I423">
        <v>420</v>
      </c>
      <c r="J423">
        <v>2.9777588561076369</v>
      </c>
      <c r="K423">
        <v>1</v>
      </c>
      <c r="L423">
        <v>1.3358478013807169</v>
      </c>
      <c r="M423">
        <v>4.3136066574883536</v>
      </c>
      <c r="N423">
        <v>0</v>
      </c>
    </row>
    <row r="424" spans="9:14" x14ac:dyDescent="0.3">
      <c r="I424">
        <v>421</v>
      </c>
      <c r="J424">
        <v>3.2536937776108759</v>
      </c>
      <c r="K424">
        <v>0</v>
      </c>
      <c r="L424">
        <v>0</v>
      </c>
      <c r="M424">
        <v>3.2536937776108759</v>
      </c>
      <c r="N424">
        <v>0</v>
      </c>
    </row>
    <row r="425" spans="9:14" x14ac:dyDescent="0.3">
      <c r="I425">
        <v>422</v>
      </c>
      <c r="J425">
        <v>3.225087777965475</v>
      </c>
      <c r="K425">
        <v>0</v>
      </c>
      <c r="L425">
        <v>0</v>
      </c>
      <c r="M425">
        <v>3.225087777965475</v>
      </c>
      <c r="N425">
        <v>0</v>
      </c>
    </row>
    <row r="426" spans="9:14" x14ac:dyDescent="0.3">
      <c r="I426">
        <v>423</v>
      </c>
      <c r="J426">
        <v>2.8458413665160491</v>
      </c>
      <c r="K426">
        <v>1</v>
      </c>
      <c r="L426">
        <v>1.640815215841239</v>
      </c>
      <c r="M426">
        <v>4.4866565823572886</v>
      </c>
      <c r="N426">
        <v>0</v>
      </c>
    </row>
    <row r="427" spans="9:14" x14ac:dyDescent="0.3">
      <c r="I427">
        <v>424</v>
      </c>
      <c r="J427">
        <v>2.5725781048818721</v>
      </c>
      <c r="K427">
        <v>0</v>
      </c>
      <c r="L427">
        <v>0</v>
      </c>
      <c r="M427">
        <v>2.5725781048818721</v>
      </c>
      <c r="N427">
        <v>1</v>
      </c>
    </row>
    <row r="428" spans="9:14" x14ac:dyDescent="0.3">
      <c r="I428">
        <v>425</v>
      </c>
      <c r="J428">
        <v>2.6186145172637958</v>
      </c>
      <c r="K428">
        <v>0</v>
      </c>
      <c r="L428">
        <v>0</v>
      </c>
      <c r="M428">
        <v>2.6186145172637958</v>
      </c>
      <c r="N428">
        <v>1</v>
      </c>
    </row>
    <row r="429" spans="9:14" x14ac:dyDescent="0.3">
      <c r="I429">
        <v>426</v>
      </c>
      <c r="J429">
        <v>2.7771023863774018</v>
      </c>
      <c r="K429">
        <v>0</v>
      </c>
      <c r="L429">
        <v>0</v>
      </c>
      <c r="M429">
        <v>2.7771023863774018</v>
      </c>
      <c r="N429">
        <v>1</v>
      </c>
    </row>
    <row r="430" spans="9:14" x14ac:dyDescent="0.3">
      <c r="I430">
        <v>427</v>
      </c>
      <c r="J430">
        <v>2.6711433693205628</v>
      </c>
      <c r="K430">
        <v>0</v>
      </c>
      <c r="L430">
        <v>0</v>
      </c>
      <c r="M430">
        <v>2.6711433693205628</v>
      </c>
      <c r="N430">
        <v>1</v>
      </c>
    </row>
    <row r="431" spans="9:14" x14ac:dyDescent="0.3">
      <c r="I431">
        <v>428</v>
      </c>
      <c r="J431">
        <v>3.2226174324254879</v>
      </c>
      <c r="K431">
        <v>0</v>
      </c>
      <c r="L431">
        <v>0</v>
      </c>
      <c r="M431">
        <v>3.2226174324254879</v>
      </c>
      <c r="N431">
        <v>0</v>
      </c>
    </row>
    <row r="432" spans="9:14" x14ac:dyDescent="0.3">
      <c r="I432">
        <v>429</v>
      </c>
      <c r="J432">
        <v>2.5837874686727971</v>
      </c>
      <c r="K432">
        <v>0</v>
      </c>
      <c r="L432">
        <v>0</v>
      </c>
      <c r="M432">
        <v>2.5837874686727971</v>
      </c>
      <c r="N432">
        <v>1</v>
      </c>
    </row>
    <row r="433" spans="9:14" x14ac:dyDescent="0.3">
      <c r="I433">
        <v>430</v>
      </c>
      <c r="J433">
        <v>2.9927188946490682</v>
      </c>
      <c r="K433">
        <v>1</v>
      </c>
      <c r="L433">
        <v>1.0453004085351429</v>
      </c>
      <c r="M433">
        <v>4.0380193031842104</v>
      </c>
      <c r="N433">
        <v>0</v>
      </c>
    </row>
    <row r="434" spans="9:14" x14ac:dyDescent="0.3">
      <c r="I434">
        <v>431</v>
      </c>
      <c r="J434">
        <v>2.5147975840330701</v>
      </c>
      <c r="K434">
        <v>0</v>
      </c>
      <c r="L434">
        <v>0</v>
      </c>
      <c r="M434">
        <v>2.5147975840330701</v>
      </c>
      <c r="N434">
        <v>1</v>
      </c>
    </row>
    <row r="435" spans="9:14" x14ac:dyDescent="0.3">
      <c r="I435">
        <v>432</v>
      </c>
      <c r="J435">
        <v>2.8055756220834489</v>
      </c>
      <c r="K435">
        <v>0</v>
      </c>
      <c r="L435">
        <v>0</v>
      </c>
      <c r="M435">
        <v>2.8055756220834489</v>
      </c>
      <c r="N435">
        <v>1</v>
      </c>
    </row>
    <row r="436" spans="9:14" x14ac:dyDescent="0.3">
      <c r="I436">
        <v>433</v>
      </c>
      <c r="J436">
        <v>3.4213892231884291</v>
      </c>
      <c r="K436">
        <v>0</v>
      </c>
      <c r="L436">
        <v>0</v>
      </c>
      <c r="M436">
        <v>3.4213892231884291</v>
      </c>
      <c r="N436">
        <v>0</v>
      </c>
    </row>
    <row r="437" spans="9:14" x14ac:dyDescent="0.3">
      <c r="I437">
        <v>434</v>
      </c>
      <c r="J437">
        <v>3.4237748727606019</v>
      </c>
      <c r="K437">
        <v>0</v>
      </c>
      <c r="L437">
        <v>0</v>
      </c>
      <c r="M437">
        <v>3.4237748727606019</v>
      </c>
      <c r="N437">
        <v>0</v>
      </c>
    </row>
    <row r="438" spans="9:14" x14ac:dyDescent="0.3">
      <c r="I438">
        <v>435</v>
      </c>
      <c r="J438">
        <v>3.0157257132998598</v>
      </c>
      <c r="K438">
        <v>0</v>
      </c>
      <c r="L438">
        <v>0</v>
      </c>
      <c r="M438">
        <v>3.0157257132998598</v>
      </c>
      <c r="N438">
        <v>0</v>
      </c>
    </row>
    <row r="439" spans="9:14" x14ac:dyDescent="0.3">
      <c r="I439">
        <v>436</v>
      </c>
      <c r="J439">
        <v>3.1848440165232539</v>
      </c>
      <c r="K439">
        <v>0</v>
      </c>
      <c r="L439">
        <v>0</v>
      </c>
      <c r="M439">
        <v>3.1848440165232539</v>
      </c>
      <c r="N439">
        <v>0</v>
      </c>
    </row>
    <row r="440" spans="9:14" x14ac:dyDescent="0.3">
      <c r="I440">
        <v>437</v>
      </c>
      <c r="J440">
        <v>2.7333972866341552</v>
      </c>
      <c r="K440">
        <v>1</v>
      </c>
      <c r="L440">
        <v>1.2968943325619191</v>
      </c>
      <c r="M440">
        <v>4.030291619196074</v>
      </c>
      <c r="N440">
        <v>0</v>
      </c>
    </row>
    <row r="441" spans="9:14" x14ac:dyDescent="0.3">
      <c r="I441">
        <v>438</v>
      </c>
      <c r="J441">
        <v>2.8281022346581519</v>
      </c>
      <c r="K441">
        <v>0</v>
      </c>
      <c r="L441">
        <v>0</v>
      </c>
      <c r="M441">
        <v>2.8281022346581519</v>
      </c>
      <c r="N441">
        <v>1</v>
      </c>
    </row>
    <row r="442" spans="9:14" x14ac:dyDescent="0.3">
      <c r="I442">
        <v>439</v>
      </c>
      <c r="J442">
        <v>2.744736825538455</v>
      </c>
      <c r="K442">
        <v>0</v>
      </c>
      <c r="L442">
        <v>0</v>
      </c>
      <c r="M442">
        <v>2.744736825538455</v>
      </c>
      <c r="N442">
        <v>1</v>
      </c>
    </row>
    <row r="443" spans="9:14" x14ac:dyDescent="0.3">
      <c r="I443">
        <v>440</v>
      </c>
      <c r="J443">
        <v>2.4618202155524869</v>
      </c>
      <c r="K443">
        <v>0</v>
      </c>
      <c r="L443">
        <v>0</v>
      </c>
      <c r="M443">
        <v>2.4618202155524869</v>
      </c>
      <c r="N443">
        <v>1</v>
      </c>
    </row>
    <row r="444" spans="9:14" x14ac:dyDescent="0.3">
      <c r="I444">
        <v>441</v>
      </c>
      <c r="J444">
        <v>3.2815161901606049</v>
      </c>
      <c r="K444">
        <v>0</v>
      </c>
      <c r="L444">
        <v>0</v>
      </c>
      <c r="M444">
        <v>3.2815161901606049</v>
      </c>
      <c r="N444">
        <v>0</v>
      </c>
    </row>
    <row r="445" spans="9:14" x14ac:dyDescent="0.3">
      <c r="I445">
        <v>442</v>
      </c>
      <c r="J445">
        <v>3.0528601488266829</v>
      </c>
      <c r="K445">
        <v>0</v>
      </c>
      <c r="L445">
        <v>0</v>
      </c>
      <c r="M445">
        <v>3.0528601488266829</v>
      </c>
      <c r="N445">
        <v>0</v>
      </c>
    </row>
    <row r="446" spans="9:14" x14ac:dyDescent="0.3">
      <c r="I446">
        <v>443</v>
      </c>
      <c r="J446">
        <v>3.1173531946147581</v>
      </c>
      <c r="K446">
        <v>0</v>
      </c>
      <c r="L446">
        <v>0</v>
      </c>
      <c r="M446">
        <v>3.1173531946147581</v>
      </c>
      <c r="N446">
        <v>0</v>
      </c>
    </row>
    <row r="447" spans="9:14" x14ac:dyDescent="0.3">
      <c r="I447">
        <v>444</v>
      </c>
      <c r="J447">
        <v>2.7610639795686849</v>
      </c>
      <c r="K447">
        <v>0</v>
      </c>
      <c r="L447">
        <v>0</v>
      </c>
      <c r="M447">
        <v>2.7610639795686849</v>
      </c>
      <c r="N447">
        <v>1</v>
      </c>
    </row>
    <row r="448" spans="9:14" x14ac:dyDescent="0.3">
      <c r="I448">
        <v>445</v>
      </c>
      <c r="J448">
        <v>2.3891181532150711</v>
      </c>
      <c r="K448">
        <v>0</v>
      </c>
      <c r="L448">
        <v>0</v>
      </c>
      <c r="M448">
        <v>2.3891181532150711</v>
      </c>
      <c r="N448">
        <v>1</v>
      </c>
    </row>
    <row r="449" spans="9:14" x14ac:dyDescent="0.3">
      <c r="I449">
        <v>446</v>
      </c>
      <c r="J449">
        <v>2.987838653301969</v>
      </c>
      <c r="K449">
        <v>0</v>
      </c>
      <c r="L449">
        <v>0</v>
      </c>
      <c r="M449">
        <v>2.987838653301969</v>
      </c>
      <c r="N449">
        <v>1</v>
      </c>
    </row>
    <row r="450" spans="9:14" x14ac:dyDescent="0.3">
      <c r="I450">
        <v>447</v>
      </c>
      <c r="J450">
        <v>3.3892404541524241</v>
      </c>
      <c r="K450">
        <v>0</v>
      </c>
      <c r="L450">
        <v>0</v>
      </c>
      <c r="M450">
        <v>3.3892404541524241</v>
      </c>
      <c r="N450">
        <v>0</v>
      </c>
    </row>
    <row r="451" spans="9:14" x14ac:dyDescent="0.3">
      <c r="I451">
        <v>448</v>
      </c>
      <c r="J451">
        <v>3.1819984957619281</v>
      </c>
      <c r="K451">
        <v>0</v>
      </c>
      <c r="L451">
        <v>0</v>
      </c>
      <c r="M451">
        <v>3.1819984957619281</v>
      </c>
      <c r="N451">
        <v>0</v>
      </c>
    </row>
    <row r="452" spans="9:14" x14ac:dyDescent="0.3">
      <c r="I452">
        <v>449</v>
      </c>
      <c r="J452">
        <v>3.3109503460320902</v>
      </c>
      <c r="K452">
        <v>0</v>
      </c>
      <c r="L452">
        <v>0</v>
      </c>
      <c r="M452">
        <v>3.3109503460320902</v>
      </c>
      <c r="N452">
        <v>0</v>
      </c>
    </row>
    <row r="453" spans="9:14" x14ac:dyDescent="0.3">
      <c r="I453">
        <v>450</v>
      </c>
      <c r="J453">
        <v>2.642988770245974</v>
      </c>
      <c r="K453">
        <v>0</v>
      </c>
      <c r="L453">
        <v>0</v>
      </c>
      <c r="M453">
        <v>2.642988770245974</v>
      </c>
      <c r="N453">
        <v>1</v>
      </c>
    </row>
    <row r="454" spans="9:14" x14ac:dyDescent="0.3">
      <c r="I454">
        <v>451</v>
      </c>
      <c r="J454">
        <v>2.655860168915491</v>
      </c>
      <c r="K454">
        <v>0</v>
      </c>
      <c r="L454">
        <v>0</v>
      </c>
      <c r="M454">
        <v>2.655860168915491</v>
      </c>
      <c r="N454">
        <v>1</v>
      </c>
    </row>
    <row r="455" spans="9:14" x14ac:dyDescent="0.3">
      <c r="I455">
        <v>452</v>
      </c>
      <c r="J455">
        <v>2.9209186201878161</v>
      </c>
      <c r="K455">
        <v>0</v>
      </c>
      <c r="L455">
        <v>0</v>
      </c>
      <c r="M455">
        <v>2.9209186201878161</v>
      </c>
      <c r="N455">
        <v>1</v>
      </c>
    </row>
    <row r="456" spans="9:14" x14ac:dyDescent="0.3">
      <c r="I456">
        <v>453</v>
      </c>
      <c r="J456">
        <v>2.8841816141781829</v>
      </c>
      <c r="K456">
        <v>0</v>
      </c>
      <c r="L456">
        <v>0</v>
      </c>
      <c r="M456">
        <v>2.8841816141781829</v>
      </c>
      <c r="N456">
        <v>1</v>
      </c>
    </row>
    <row r="457" spans="9:14" x14ac:dyDescent="0.3">
      <c r="I457">
        <v>454</v>
      </c>
      <c r="J457">
        <v>3.1970389364136449</v>
      </c>
      <c r="K457">
        <v>1</v>
      </c>
      <c r="L457">
        <v>1.290853726433447</v>
      </c>
      <c r="M457">
        <v>4.4878926628470932</v>
      </c>
      <c r="N457">
        <v>0</v>
      </c>
    </row>
    <row r="458" spans="9:14" x14ac:dyDescent="0.3">
      <c r="I458">
        <v>455</v>
      </c>
      <c r="J458">
        <v>2.6580311252602402</v>
      </c>
      <c r="K458">
        <v>0</v>
      </c>
      <c r="L458">
        <v>0</v>
      </c>
      <c r="M458">
        <v>2.6580311252602402</v>
      </c>
      <c r="N458">
        <v>1</v>
      </c>
    </row>
    <row r="459" spans="9:14" x14ac:dyDescent="0.3">
      <c r="I459">
        <v>456</v>
      </c>
      <c r="J459">
        <v>3.1601676389570721</v>
      </c>
      <c r="K459">
        <v>0</v>
      </c>
      <c r="L459">
        <v>0</v>
      </c>
      <c r="M459">
        <v>3.1601676389570721</v>
      </c>
      <c r="N459">
        <v>0</v>
      </c>
    </row>
    <row r="460" spans="9:14" x14ac:dyDescent="0.3">
      <c r="I460">
        <v>457</v>
      </c>
      <c r="J460">
        <v>3.0785139548321601</v>
      </c>
      <c r="K460">
        <v>0</v>
      </c>
      <c r="L460">
        <v>0</v>
      </c>
      <c r="M460">
        <v>3.0785139548321601</v>
      </c>
      <c r="N460">
        <v>0</v>
      </c>
    </row>
    <row r="461" spans="9:14" x14ac:dyDescent="0.3">
      <c r="I461">
        <v>458</v>
      </c>
      <c r="J461">
        <v>2.9088346302040891</v>
      </c>
      <c r="K461">
        <v>0</v>
      </c>
      <c r="L461">
        <v>0</v>
      </c>
      <c r="M461">
        <v>2.9088346302040891</v>
      </c>
      <c r="N461">
        <v>1</v>
      </c>
    </row>
    <row r="462" spans="9:14" x14ac:dyDescent="0.3">
      <c r="I462">
        <v>459</v>
      </c>
      <c r="J462">
        <v>2.5110950323094219</v>
      </c>
      <c r="K462">
        <v>0</v>
      </c>
      <c r="L462">
        <v>0</v>
      </c>
      <c r="M462">
        <v>2.5110950323094219</v>
      </c>
      <c r="N462">
        <v>1</v>
      </c>
    </row>
    <row r="463" spans="9:14" x14ac:dyDescent="0.3">
      <c r="I463">
        <v>460</v>
      </c>
      <c r="J463">
        <v>3.6151292102022969</v>
      </c>
      <c r="K463">
        <v>0</v>
      </c>
      <c r="L463">
        <v>0</v>
      </c>
      <c r="M463">
        <v>3.6151292102022969</v>
      </c>
      <c r="N463">
        <v>0</v>
      </c>
    </row>
    <row r="464" spans="9:14" x14ac:dyDescent="0.3">
      <c r="I464">
        <v>461</v>
      </c>
      <c r="J464">
        <v>2.7106935301585859</v>
      </c>
      <c r="K464">
        <v>1</v>
      </c>
      <c r="L464">
        <v>1.6925545902500829</v>
      </c>
      <c r="M464">
        <v>4.4032481204086693</v>
      </c>
      <c r="N464">
        <v>0</v>
      </c>
    </row>
    <row r="465" spans="9:14" x14ac:dyDescent="0.3">
      <c r="I465">
        <v>462</v>
      </c>
      <c r="J465">
        <v>2.972257066553309</v>
      </c>
      <c r="K465">
        <v>0</v>
      </c>
      <c r="L465">
        <v>0</v>
      </c>
      <c r="M465">
        <v>2.972257066553309</v>
      </c>
      <c r="N465">
        <v>1</v>
      </c>
    </row>
    <row r="466" spans="9:14" x14ac:dyDescent="0.3">
      <c r="I466">
        <v>463</v>
      </c>
      <c r="J466">
        <v>3.3050855865176878</v>
      </c>
      <c r="K466">
        <v>0</v>
      </c>
      <c r="L466">
        <v>0</v>
      </c>
      <c r="M466">
        <v>3.3050855865176878</v>
      </c>
      <c r="N466">
        <v>0</v>
      </c>
    </row>
    <row r="467" spans="9:14" x14ac:dyDescent="0.3">
      <c r="I467">
        <v>464</v>
      </c>
      <c r="J467">
        <v>2.7822845484515262</v>
      </c>
      <c r="K467">
        <v>0</v>
      </c>
      <c r="L467">
        <v>0</v>
      </c>
      <c r="M467">
        <v>2.7822845484515262</v>
      </c>
      <c r="N467">
        <v>1</v>
      </c>
    </row>
    <row r="468" spans="9:14" x14ac:dyDescent="0.3">
      <c r="I468">
        <v>465</v>
      </c>
      <c r="J468">
        <v>2.982563062749561</v>
      </c>
      <c r="K468">
        <v>0</v>
      </c>
      <c r="L468">
        <v>0</v>
      </c>
      <c r="M468">
        <v>2.982563062749561</v>
      </c>
      <c r="N468">
        <v>1</v>
      </c>
    </row>
    <row r="469" spans="9:14" x14ac:dyDescent="0.3">
      <c r="I469">
        <v>466</v>
      </c>
      <c r="J469">
        <v>2.871880797262182</v>
      </c>
      <c r="K469">
        <v>0</v>
      </c>
      <c r="L469">
        <v>0</v>
      </c>
      <c r="M469">
        <v>2.871880797262182</v>
      </c>
      <c r="N469">
        <v>1</v>
      </c>
    </row>
    <row r="470" spans="9:14" x14ac:dyDescent="0.3">
      <c r="I470">
        <v>467</v>
      </c>
      <c r="J470">
        <v>2.6387553018270711</v>
      </c>
      <c r="K470">
        <v>0</v>
      </c>
      <c r="L470">
        <v>0</v>
      </c>
      <c r="M470">
        <v>2.6387553018270711</v>
      </c>
      <c r="N470">
        <v>1</v>
      </c>
    </row>
    <row r="471" spans="9:14" x14ac:dyDescent="0.3">
      <c r="I471">
        <v>468</v>
      </c>
      <c r="J471">
        <v>3.502113257338868</v>
      </c>
      <c r="K471">
        <v>0</v>
      </c>
      <c r="L471">
        <v>0</v>
      </c>
      <c r="M471">
        <v>3.502113257338868</v>
      </c>
      <c r="N471">
        <v>0</v>
      </c>
    </row>
    <row r="472" spans="9:14" x14ac:dyDescent="0.3">
      <c r="I472">
        <v>469</v>
      </c>
      <c r="J472">
        <v>2.6716816617464838</v>
      </c>
      <c r="K472">
        <v>0</v>
      </c>
      <c r="L472">
        <v>0</v>
      </c>
      <c r="M472">
        <v>2.6716816617464838</v>
      </c>
      <c r="N472">
        <v>1</v>
      </c>
    </row>
    <row r="473" spans="9:14" x14ac:dyDescent="0.3">
      <c r="I473">
        <v>470</v>
      </c>
      <c r="J473">
        <v>2.4828672211494012</v>
      </c>
      <c r="K473">
        <v>0</v>
      </c>
      <c r="L473">
        <v>0</v>
      </c>
      <c r="M473">
        <v>2.4828672211494012</v>
      </c>
      <c r="N473">
        <v>1</v>
      </c>
    </row>
    <row r="474" spans="9:14" x14ac:dyDescent="0.3">
      <c r="I474">
        <v>471</v>
      </c>
      <c r="J474">
        <v>2.3096041934381071</v>
      </c>
      <c r="K474">
        <v>1</v>
      </c>
      <c r="L474">
        <v>1.442017166435664</v>
      </c>
      <c r="M474">
        <v>3.75162135987377</v>
      </c>
      <c r="N474">
        <v>0</v>
      </c>
    </row>
    <row r="475" spans="9:14" x14ac:dyDescent="0.3">
      <c r="I475">
        <v>472</v>
      </c>
      <c r="J475">
        <v>3.1756337535305441</v>
      </c>
      <c r="K475">
        <v>0</v>
      </c>
      <c r="L475">
        <v>0</v>
      </c>
      <c r="M475">
        <v>3.1756337535305441</v>
      </c>
      <c r="N475">
        <v>0</v>
      </c>
    </row>
    <row r="476" spans="9:14" x14ac:dyDescent="0.3">
      <c r="I476">
        <v>473</v>
      </c>
      <c r="J476">
        <v>2.853610304223293</v>
      </c>
      <c r="K476">
        <v>1</v>
      </c>
      <c r="L476">
        <v>1.4869347079472679</v>
      </c>
      <c r="M476">
        <v>4.3405450121705602</v>
      </c>
      <c r="N476">
        <v>0</v>
      </c>
    </row>
    <row r="477" spans="9:14" x14ac:dyDescent="0.3">
      <c r="I477">
        <v>474</v>
      </c>
      <c r="J477">
        <v>2.6433559725779721</v>
      </c>
      <c r="K477">
        <v>0</v>
      </c>
      <c r="L477">
        <v>0</v>
      </c>
      <c r="M477">
        <v>2.6433559725779721</v>
      </c>
      <c r="N477">
        <v>1</v>
      </c>
    </row>
    <row r="478" spans="9:14" x14ac:dyDescent="0.3">
      <c r="I478">
        <v>475</v>
      </c>
      <c r="J478">
        <v>2.5256458406780729</v>
      </c>
      <c r="K478">
        <v>0</v>
      </c>
      <c r="L478">
        <v>0</v>
      </c>
      <c r="M478">
        <v>2.5256458406780729</v>
      </c>
      <c r="N478">
        <v>1</v>
      </c>
    </row>
    <row r="479" spans="9:14" x14ac:dyDescent="0.3">
      <c r="I479">
        <v>476</v>
      </c>
      <c r="J479">
        <v>3.0154506572479289</v>
      </c>
      <c r="K479">
        <v>1</v>
      </c>
      <c r="L479">
        <v>1.2519169940538899</v>
      </c>
      <c r="M479">
        <v>4.2673676513018197</v>
      </c>
      <c r="N479">
        <v>0</v>
      </c>
    </row>
    <row r="480" spans="9:14" x14ac:dyDescent="0.3">
      <c r="I480">
        <v>477</v>
      </c>
      <c r="J480">
        <v>3.5415002075354982</v>
      </c>
      <c r="K480">
        <v>0</v>
      </c>
      <c r="L480">
        <v>0</v>
      </c>
      <c r="M480">
        <v>3.5415002075354982</v>
      </c>
      <c r="N480">
        <v>0</v>
      </c>
    </row>
    <row r="481" spans="9:14" x14ac:dyDescent="0.3">
      <c r="I481">
        <v>478</v>
      </c>
      <c r="J481">
        <v>3.430157069337358</v>
      </c>
      <c r="K481">
        <v>0</v>
      </c>
      <c r="L481">
        <v>0</v>
      </c>
      <c r="M481">
        <v>3.430157069337358</v>
      </c>
      <c r="N481">
        <v>0</v>
      </c>
    </row>
    <row r="482" spans="9:14" x14ac:dyDescent="0.3">
      <c r="I482">
        <v>479</v>
      </c>
      <c r="J482">
        <v>2.6537535758596311</v>
      </c>
      <c r="K482">
        <v>0</v>
      </c>
      <c r="L482">
        <v>0</v>
      </c>
      <c r="M482">
        <v>2.6537535758596311</v>
      </c>
      <c r="N482">
        <v>1</v>
      </c>
    </row>
    <row r="483" spans="9:14" x14ac:dyDescent="0.3">
      <c r="I483">
        <v>480</v>
      </c>
      <c r="J483">
        <v>2.7927373333923788</v>
      </c>
      <c r="K483">
        <v>0</v>
      </c>
      <c r="L483">
        <v>0</v>
      </c>
      <c r="M483">
        <v>2.7927373333923788</v>
      </c>
      <c r="N483">
        <v>1</v>
      </c>
    </row>
    <row r="484" spans="9:14" x14ac:dyDescent="0.3">
      <c r="I484">
        <v>481</v>
      </c>
      <c r="J484">
        <v>2.690146500846601</v>
      </c>
      <c r="K484">
        <v>0</v>
      </c>
      <c r="L484">
        <v>0</v>
      </c>
      <c r="M484">
        <v>2.690146500846601</v>
      </c>
      <c r="N484">
        <v>1</v>
      </c>
    </row>
    <row r="485" spans="9:14" x14ac:dyDescent="0.3">
      <c r="I485">
        <v>482</v>
      </c>
      <c r="J485">
        <v>2.62662565523447</v>
      </c>
      <c r="K485">
        <v>0</v>
      </c>
      <c r="L485">
        <v>0</v>
      </c>
      <c r="M485">
        <v>2.62662565523447</v>
      </c>
      <c r="N485">
        <v>1</v>
      </c>
    </row>
    <row r="486" spans="9:14" x14ac:dyDescent="0.3">
      <c r="I486">
        <v>483</v>
      </c>
      <c r="J486">
        <v>2.613484626287256</v>
      </c>
      <c r="K486">
        <v>0</v>
      </c>
      <c r="L486">
        <v>0</v>
      </c>
      <c r="M486">
        <v>2.613484626287256</v>
      </c>
      <c r="N486">
        <v>1</v>
      </c>
    </row>
    <row r="487" spans="9:14" x14ac:dyDescent="0.3">
      <c r="I487">
        <v>484</v>
      </c>
      <c r="J487">
        <v>2.8163353379785949</v>
      </c>
      <c r="K487">
        <v>0</v>
      </c>
      <c r="L487">
        <v>0</v>
      </c>
      <c r="M487">
        <v>2.8163353379785949</v>
      </c>
      <c r="N487">
        <v>1</v>
      </c>
    </row>
    <row r="488" spans="9:14" x14ac:dyDescent="0.3">
      <c r="I488">
        <v>485</v>
      </c>
      <c r="J488">
        <v>2.7805968470695861</v>
      </c>
      <c r="K488">
        <v>0</v>
      </c>
      <c r="L488">
        <v>0</v>
      </c>
      <c r="M488">
        <v>2.7805968470695861</v>
      </c>
      <c r="N488">
        <v>1</v>
      </c>
    </row>
    <row r="489" spans="9:14" x14ac:dyDescent="0.3">
      <c r="I489">
        <v>486</v>
      </c>
      <c r="J489">
        <v>3.1587139175150498</v>
      </c>
      <c r="K489">
        <v>1</v>
      </c>
      <c r="L489">
        <v>1.643651478738908</v>
      </c>
      <c r="M489">
        <v>4.8023653962539576</v>
      </c>
      <c r="N489">
        <v>0</v>
      </c>
    </row>
    <row r="490" spans="9:14" x14ac:dyDescent="0.3">
      <c r="I490">
        <v>487</v>
      </c>
      <c r="J490">
        <v>3.2363072377592208</v>
      </c>
      <c r="K490">
        <v>0</v>
      </c>
      <c r="L490">
        <v>0</v>
      </c>
      <c r="M490">
        <v>3.2363072377592208</v>
      </c>
      <c r="N490">
        <v>0</v>
      </c>
    </row>
    <row r="491" spans="9:14" x14ac:dyDescent="0.3">
      <c r="I491">
        <v>488</v>
      </c>
      <c r="J491">
        <v>2.9150717246615701</v>
      </c>
      <c r="K491">
        <v>0</v>
      </c>
      <c r="L491">
        <v>0</v>
      </c>
      <c r="M491">
        <v>2.9150717246615701</v>
      </c>
      <c r="N491">
        <v>1</v>
      </c>
    </row>
    <row r="492" spans="9:14" x14ac:dyDescent="0.3">
      <c r="I492">
        <v>489</v>
      </c>
      <c r="J492">
        <v>2.8577122955991472</v>
      </c>
      <c r="K492">
        <v>0</v>
      </c>
      <c r="L492">
        <v>0</v>
      </c>
      <c r="M492">
        <v>2.8577122955991472</v>
      </c>
      <c r="N492">
        <v>1</v>
      </c>
    </row>
    <row r="493" spans="9:14" x14ac:dyDescent="0.3">
      <c r="I493">
        <v>490</v>
      </c>
      <c r="J493">
        <v>2.9016941014111488</v>
      </c>
      <c r="K493">
        <v>0</v>
      </c>
      <c r="L493">
        <v>0</v>
      </c>
      <c r="M493">
        <v>2.9016941014111488</v>
      </c>
      <c r="N493">
        <v>1</v>
      </c>
    </row>
    <row r="494" spans="9:14" x14ac:dyDescent="0.3">
      <c r="I494">
        <v>491</v>
      </c>
      <c r="J494">
        <v>3.0610130630456638</v>
      </c>
      <c r="K494">
        <v>0</v>
      </c>
      <c r="L494">
        <v>0</v>
      </c>
      <c r="M494">
        <v>3.0610130630456638</v>
      </c>
      <c r="N494">
        <v>0</v>
      </c>
    </row>
    <row r="495" spans="9:14" x14ac:dyDescent="0.3">
      <c r="I495">
        <v>492</v>
      </c>
      <c r="J495">
        <v>2.7151443817643339</v>
      </c>
      <c r="K495">
        <v>0</v>
      </c>
      <c r="L495">
        <v>0</v>
      </c>
      <c r="M495">
        <v>2.7151443817643339</v>
      </c>
      <c r="N495">
        <v>1</v>
      </c>
    </row>
    <row r="496" spans="9:14" x14ac:dyDescent="0.3">
      <c r="I496">
        <v>493</v>
      </c>
      <c r="J496">
        <v>2.8534039230141768</v>
      </c>
      <c r="K496">
        <v>0</v>
      </c>
      <c r="L496">
        <v>0</v>
      </c>
      <c r="M496">
        <v>2.8534039230141768</v>
      </c>
      <c r="N496">
        <v>1</v>
      </c>
    </row>
    <row r="497" spans="9:14" x14ac:dyDescent="0.3">
      <c r="I497">
        <v>494</v>
      </c>
      <c r="J497">
        <v>3.4130175158653602</v>
      </c>
      <c r="K497">
        <v>0</v>
      </c>
      <c r="L497">
        <v>0</v>
      </c>
      <c r="M497">
        <v>3.4130175158653602</v>
      </c>
      <c r="N497">
        <v>0</v>
      </c>
    </row>
    <row r="498" spans="9:14" x14ac:dyDescent="0.3">
      <c r="I498">
        <v>495</v>
      </c>
      <c r="J498">
        <v>3.7855788207785168</v>
      </c>
      <c r="K498">
        <v>0</v>
      </c>
      <c r="L498">
        <v>0</v>
      </c>
      <c r="M498">
        <v>3.7855788207785168</v>
      </c>
      <c r="N498">
        <v>0</v>
      </c>
    </row>
    <row r="499" spans="9:14" x14ac:dyDescent="0.3">
      <c r="I499">
        <v>496</v>
      </c>
      <c r="J499">
        <v>2.1666913327724542</v>
      </c>
      <c r="K499">
        <v>0</v>
      </c>
      <c r="L499">
        <v>0</v>
      </c>
      <c r="M499">
        <v>2.1666913327724542</v>
      </c>
      <c r="N499">
        <v>1</v>
      </c>
    </row>
    <row r="500" spans="9:14" x14ac:dyDescent="0.3">
      <c r="I500">
        <v>497</v>
      </c>
      <c r="J500">
        <v>2.9102576607427468</v>
      </c>
      <c r="K500">
        <v>0</v>
      </c>
      <c r="L500">
        <v>0</v>
      </c>
      <c r="M500">
        <v>2.9102576607427468</v>
      </c>
      <c r="N500">
        <v>1</v>
      </c>
    </row>
    <row r="501" spans="9:14" x14ac:dyDescent="0.3">
      <c r="I501">
        <v>498</v>
      </c>
      <c r="J501">
        <v>3.128227137085791</v>
      </c>
      <c r="K501">
        <v>0</v>
      </c>
      <c r="L501">
        <v>0</v>
      </c>
      <c r="M501">
        <v>3.128227137085791</v>
      </c>
      <c r="N501">
        <v>0</v>
      </c>
    </row>
    <row r="502" spans="9:14" x14ac:dyDescent="0.3">
      <c r="I502">
        <v>499</v>
      </c>
      <c r="J502">
        <v>2.5193498179757641</v>
      </c>
      <c r="K502">
        <v>0</v>
      </c>
      <c r="L502">
        <v>0</v>
      </c>
      <c r="M502">
        <v>2.5193498179757641</v>
      </c>
      <c r="N502">
        <v>1</v>
      </c>
    </row>
    <row r="503" spans="9:14" x14ac:dyDescent="0.3">
      <c r="I503">
        <v>500</v>
      </c>
      <c r="J503">
        <v>2.5725600471165491</v>
      </c>
      <c r="K503">
        <v>0</v>
      </c>
      <c r="L503">
        <v>0</v>
      </c>
      <c r="M503">
        <v>2.5725600471165491</v>
      </c>
      <c r="N503">
        <v>1</v>
      </c>
    </row>
    <row r="504" spans="9:14" x14ac:dyDescent="0.3">
      <c r="I504">
        <v>501</v>
      </c>
      <c r="J504">
        <v>2.659308998553334</v>
      </c>
      <c r="K504">
        <v>0</v>
      </c>
      <c r="L504">
        <v>0</v>
      </c>
      <c r="M504">
        <v>2.659308998553334</v>
      </c>
      <c r="N504">
        <v>1</v>
      </c>
    </row>
    <row r="505" spans="9:14" x14ac:dyDescent="0.3">
      <c r="I505">
        <v>502</v>
      </c>
      <c r="J505">
        <v>3.1825729069101558</v>
      </c>
      <c r="K505">
        <v>0</v>
      </c>
      <c r="L505">
        <v>0</v>
      </c>
      <c r="M505">
        <v>3.1825729069101558</v>
      </c>
      <c r="N505">
        <v>0</v>
      </c>
    </row>
    <row r="506" spans="9:14" x14ac:dyDescent="0.3">
      <c r="I506">
        <v>503</v>
      </c>
      <c r="J506">
        <v>2.7414611761044241</v>
      </c>
      <c r="K506">
        <v>0</v>
      </c>
      <c r="L506">
        <v>0</v>
      </c>
      <c r="M506">
        <v>2.7414611761044241</v>
      </c>
      <c r="N506">
        <v>1</v>
      </c>
    </row>
    <row r="507" spans="9:14" x14ac:dyDescent="0.3">
      <c r="I507">
        <v>504</v>
      </c>
      <c r="J507">
        <v>3.0187171458458559</v>
      </c>
      <c r="K507">
        <v>0</v>
      </c>
      <c r="L507">
        <v>0</v>
      </c>
      <c r="M507">
        <v>3.0187171458458559</v>
      </c>
      <c r="N507">
        <v>0</v>
      </c>
    </row>
    <row r="508" spans="9:14" x14ac:dyDescent="0.3">
      <c r="I508">
        <v>505</v>
      </c>
      <c r="J508">
        <v>3.5125133087527209</v>
      </c>
      <c r="K508">
        <v>0</v>
      </c>
      <c r="L508">
        <v>0</v>
      </c>
      <c r="M508">
        <v>3.5125133087527209</v>
      </c>
      <c r="N508">
        <v>0</v>
      </c>
    </row>
    <row r="509" spans="9:14" x14ac:dyDescent="0.3">
      <c r="I509">
        <v>506</v>
      </c>
      <c r="J509">
        <v>2.8003866707914691</v>
      </c>
      <c r="K509">
        <v>0</v>
      </c>
      <c r="L509">
        <v>0</v>
      </c>
      <c r="M509">
        <v>2.8003866707914691</v>
      </c>
      <c r="N509">
        <v>1</v>
      </c>
    </row>
    <row r="510" spans="9:14" x14ac:dyDescent="0.3">
      <c r="I510">
        <v>507</v>
      </c>
      <c r="J510">
        <v>2.9178192439459112</v>
      </c>
      <c r="K510">
        <v>0</v>
      </c>
      <c r="L510">
        <v>0</v>
      </c>
      <c r="M510">
        <v>2.9178192439459112</v>
      </c>
      <c r="N510">
        <v>1</v>
      </c>
    </row>
    <row r="511" spans="9:14" x14ac:dyDescent="0.3">
      <c r="I511">
        <v>508</v>
      </c>
      <c r="J511">
        <v>2.6698654648916489</v>
      </c>
      <c r="K511">
        <v>0</v>
      </c>
      <c r="L511">
        <v>0</v>
      </c>
      <c r="M511">
        <v>2.6698654648916489</v>
      </c>
      <c r="N511">
        <v>1</v>
      </c>
    </row>
    <row r="512" spans="9:14" x14ac:dyDescent="0.3">
      <c r="I512">
        <v>509</v>
      </c>
      <c r="J512">
        <v>2.6616366246674308</v>
      </c>
      <c r="K512">
        <v>0</v>
      </c>
      <c r="L512">
        <v>0</v>
      </c>
      <c r="M512">
        <v>2.6616366246674308</v>
      </c>
      <c r="N512">
        <v>1</v>
      </c>
    </row>
    <row r="513" spans="9:14" x14ac:dyDescent="0.3">
      <c r="I513">
        <v>510</v>
      </c>
      <c r="J513">
        <v>2.673326372893126</v>
      </c>
      <c r="K513">
        <v>0</v>
      </c>
      <c r="L513">
        <v>0</v>
      </c>
      <c r="M513">
        <v>2.673326372893126</v>
      </c>
      <c r="N513">
        <v>1</v>
      </c>
    </row>
    <row r="514" spans="9:14" x14ac:dyDescent="0.3">
      <c r="I514">
        <v>511</v>
      </c>
      <c r="J514">
        <v>2.9188369321491021</v>
      </c>
      <c r="K514">
        <v>1</v>
      </c>
      <c r="L514">
        <v>1.8578223787616881</v>
      </c>
      <c r="M514">
        <v>4.77665931091079</v>
      </c>
      <c r="N514">
        <v>0</v>
      </c>
    </row>
    <row r="515" spans="9:14" x14ac:dyDescent="0.3">
      <c r="I515">
        <v>512</v>
      </c>
      <c r="J515">
        <v>2.6497891954970392</v>
      </c>
      <c r="K515">
        <v>1</v>
      </c>
      <c r="L515">
        <v>1.6928091528316509</v>
      </c>
      <c r="M515">
        <v>4.342598348328691</v>
      </c>
      <c r="N515">
        <v>0</v>
      </c>
    </row>
    <row r="516" spans="9:14" x14ac:dyDescent="0.3">
      <c r="I516">
        <v>513</v>
      </c>
      <c r="J516">
        <v>2.9596912636876591</v>
      </c>
      <c r="K516">
        <v>0</v>
      </c>
      <c r="L516">
        <v>0</v>
      </c>
      <c r="M516">
        <v>2.9596912636876591</v>
      </c>
      <c r="N516">
        <v>1</v>
      </c>
    </row>
    <row r="517" spans="9:14" x14ac:dyDescent="0.3">
      <c r="I517">
        <v>514</v>
      </c>
      <c r="J517">
        <v>2.7926395243394921</v>
      </c>
      <c r="K517">
        <v>1</v>
      </c>
      <c r="L517">
        <v>1.7483511249899719</v>
      </c>
      <c r="M517">
        <v>4.5409906493294638</v>
      </c>
      <c r="N517">
        <v>0</v>
      </c>
    </row>
    <row r="518" spans="9:14" x14ac:dyDescent="0.3">
      <c r="I518">
        <v>515</v>
      </c>
      <c r="J518">
        <v>2.341955636410753</v>
      </c>
      <c r="K518">
        <v>0</v>
      </c>
      <c r="L518">
        <v>0</v>
      </c>
      <c r="M518">
        <v>2.341955636410753</v>
      </c>
      <c r="N518">
        <v>1</v>
      </c>
    </row>
    <row r="519" spans="9:14" x14ac:dyDescent="0.3">
      <c r="I519">
        <v>516</v>
      </c>
      <c r="J519">
        <v>2.9088542665042931</v>
      </c>
      <c r="K519">
        <v>0</v>
      </c>
      <c r="L519">
        <v>0</v>
      </c>
      <c r="M519">
        <v>2.9088542665042931</v>
      </c>
      <c r="N519">
        <v>1</v>
      </c>
    </row>
    <row r="520" spans="9:14" x14ac:dyDescent="0.3">
      <c r="I520">
        <v>517</v>
      </c>
      <c r="J520">
        <v>2.9866056177798241</v>
      </c>
      <c r="K520">
        <v>0</v>
      </c>
      <c r="L520">
        <v>0</v>
      </c>
      <c r="M520">
        <v>2.9866056177798241</v>
      </c>
      <c r="N520">
        <v>1</v>
      </c>
    </row>
    <row r="521" spans="9:14" x14ac:dyDescent="0.3">
      <c r="I521">
        <v>518</v>
      </c>
      <c r="J521">
        <v>2.6246655462685391</v>
      </c>
      <c r="K521">
        <v>0</v>
      </c>
      <c r="L521">
        <v>0</v>
      </c>
      <c r="M521">
        <v>2.6246655462685391</v>
      </c>
      <c r="N521">
        <v>1</v>
      </c>
    </row>
    <row r="522" spans="9:14" x14ac:dyDescent="0.3">
      <c r="I522">
        <v>519</v>
      </c>
      <c r="J522">
        <v>2.8294585214224242</v>
      </c>
      <c r="K522">
        <v>1</v>
      </c>
      <c r="L522">
        <v>1.2465770180491851</v>
      </c>
      <c r="M522">
        <v>4.0760355394716097</v>
      </c>
      <c r="N522">
        <v>0</v>
      </c>
    </row>
    <row r="523" spans="9:14" x14ac:dyDescent="0.3">
      <c r="I523">
        <v>520</v>
      </c>
      <c r="J523">
        <v>3.2676162237271442</v>
      </c>
      <c r="K523">
        <v>0</v>
      </c>
      <c r="L523">
        <v>0</v>
      </c>
      <c r="M523">
        <v>3.2676162237271442</v>
      </c>
      <c r="N523">
        <v>0</v>
      </c>
    </row>
    <row r="524" spans="9:14" x14ac:dyDescent="0.3">
      <c r="I524">
        <v>521</v>
      </c>
      <c r="J524">
        <v>3.0450503832189231</v>
      </c>
      <c r="K524">
        <v>0</v>
      </c>
      <c r="L524">
        <v>0</v>
      </c>
      <c r="M524">
        <v>3.0450503832189231</v>
      </c>
      <c r="N524">
        <v>0</v>
      </c>
    </row>
    <row r="525" spans="9:14" x14ac:dyDescent="0.3">
      <c r="I525">
        <v>522</v>
      </c>
      <c r="J525">
        <v>2.579446618197335</v>
      </c>
      <c r="K525">
        <v>1</v>
      </c>
      <c r="L525">
        <v>1.0647532934452659</v>
      </c>
      <c r="M525">
        <v>3.6441999116426009</v>
      </c>
      <c r="N525">
        <v>0</v>
      </c>
    </row>
    <row r="526" spans="9:14" x14ac:dyDescent="0.3">
      <c r="I526">
        <v>523</v>
      </c>
      <c r="J526">
        <v>3.306123472020396</v>
      </c>
      <c r="K526">
        <v>0</v>
      </c>
      <c r="L526">
        <v>0</v>
      </c>
      <c r="M526">
        <v>3.306123472020396</v>
      </c>
      <c r="N526">
        <v>0</v>
      </c>
    </row>
    <row r="527" spans="9:14" x14ac:dyDescent="0.3">
      <c r="I527">
        <v>524</v>
      </c>
      <c r="J527">
        <v>3.0374828546117181</v>
      </c>
      <c r="K527">
        <v>0</v>
      </c>
      <c r="L527">
        <v>0</v>
      </c>
      <c r="M527">
        <v>3.0374828546117181</v>
      </c>
      <c r="N527">
        <v>0</v>
      </c>
    </row>
    <row r="528" spans="9:14" x14ac:dyDescent="0.3">
      <c r="I528">
        <v>525</v>
      </c>
      <c r="J528">
        <v>2.9445087192151989</v>
      </c>
      <c r="K528">
        <v>0</v>
      </c>
      <c r="L528">
        <v>0</v>
      </c>
      <c r="M528">
        <v>2.9445087192151989</v>
      </c>
      <c r="N528">
        <v>1</v>
      </c>
    </row>
    <row r="529" spans="9:14" x14ac:dyDescent="0.3">
      <c r="I529">
        <v>526</v>
      </c>
      <c r="J529">
        <v>2.6503208469956472</v>
      </c>
      <c r="K529">
        <v>0</v>
      </c>
      <c r="L529">
        <v>0</v>
      </c>
      <c r="M529">
        <v>2.6503208469956472</v>
      </c>
      <c r="N529">
        <v>1</v>
      </c>
    </row>
    <row r="530" spans="9:14" x14ac:dyDescent="0.3">
      <c r="I530">
        <v>527</v>
      </c>
      <c r="J530">
        <v>2.9060706996152939</v>
      </c>
      <c r="K530">
        <v>0</v>
      </c>
      <c r="L530">
        <v>0</v>
      </c>
      <c r="M530">
        <v>2.9060706996152939</v>
      </c>
      <c r="N530">
        <v>1</v>
      </c>
    </row>
    <row r="531" spans="9:14" x14ac:dyDescent="0.3">
      <c r="I531">
        <v>528</v>
      </c>
      <c r="J531">
        <v>3.374794971883694</v>
      </c>
      <c r="K531">
        <v>1</v>
      </c>
      <c r="L531">
        <v>1.369291670108048</v>
      </c>
      <c r="M531">
        <v>4.7440866419917409</v>
      </c>
      <c r="N531">
        <v>0</v>
      </c>
    </row>
    <row r="532" spans="9:14" x14ac:dyDescent="0.3">
      <c r="I532">
        <v>529</v>
      </c>
      <c r="J532">
        <v>3.212350665303437</v>
      </c>
      <c r="K532">
        <v>0</v>
      </c>
      <c r="L532">
        <v>0</v>
      </c>
      <c r="M532">
        <v>3.212350665303437</v>
      </c>
      <c r="N532">
        <v>0</v>
      </c>
    </row>
    <row r="533" spans="9:14" x14ac:dyDescent="0.3">
      <c r="I533">
        <v>530</v>
      </c>
      <c r="J533">
        <v>3.138568797713313</v>
      </c>
      <c r="K533">
        <v>0</v>
      </c>
      <c r="L533">
        <v>0</v>
      </c>
      <c r="M533">
        <v>3.138568797713313</v>
      </c>
      <c r="N533">
        <v>0</v>
      </c>
    </row>
    <row r="534" spans="9:14" x14ac:dyDescent="0.3">
      <c r="I534">
        <v>531</v>
      </c>
      <c r="J534">
        <v>3.5601953131493538</v>
      </c>
      <c r="K534">
        <v>0</v>
      </c>
      <c r="L534">
        <v>0</v>
      </c>
      <c r="M534">
        <v>3.5601953131493538</v>
      </c>
      <c r="N534">
        <v>0</v>
      </c>
    </row>
    <row r="535" spans="9:14" x14ac:dyDescent="0.3">
      <c r="I535">
        <v>532</v>
      </c>
      <c r="J535">
        <v>3.594939871542723</v>
      </c>
      <c r="K535">
        <v>0</v>
      </c>
      <c r="L535">
        <v>0</v>
      </c>
      <c r="M535">
        <v>3.594939871542723</v>
      </c>
      <c r="N535">
        <v>0</v>
      </c>
    </row>
    <row r="536" spans="9:14" x14ac:dyDescent="0.3">
      <c r="I536">
        <v>533</v>
      </c>
      <c r="J536">
        <v>3.261073817441416</v>
      </c>
      <c r="K536">
        <v>1</v>
      </c>
      <c r="L536">
        <v>1.7602313744062921</v>
      </c>
      <c r="M536">
        <v>5.0213051918477074</v>
      </c>
      <c r="N536">
        <v>0</v>
      </c>
    </row>
    <row r="537" spans="9:14" x14ac:dyDescent="0.3">
      <c r="I537">
        <v>534</v>
      </c>
      <c r="J537">
        <v>2.8592547918772762</v>
      </c>
      <c r="K537">
        <v>0</v>
      </c>
      <c r="L537">
        <v>0</v>
      </c>
      <c r="M537">
        <v>2.8592547918772762</v>
      </c>
      <c r="N537">
        <v>1</v>
      </c>
    </row>
    <row r="538" spans="9:14" x14ac:dyDescent="0.3">
      <c r="I538">
        <v>535</v>
      </c>
      <c r="J538">
        <v>2.9321647658182282</v>
      </c>
      <c r="K538">
        <v>0</v>
      </c>
      <c r="L538">
        <v>0</v>
      </c>
      <c r="M538">
        <v>2.9321647658182282</v>
      </c>
      <c r="N538">
        <v>1</v>
      </c>
    </row>
    <row r="539" spans="9:14" x14ac:dyDescent="0.3">
      <c r="I539">
        <v>536</v>
      </c>
      <c r="J539">
        <v>2.371334994240224</v>
      </c>
      <c r="K539">
        <v>0</v>
      </c>
      <c r="L539">
        <v>0</v>
      </c>
      <c r="M539">
        <v>2.371334994240224</v>
      </c>
      <c r="N539">
        <v>1</v>
      </c>
    </row>
    <row r="540" spans="9:14" x14ac:dyDescent="0.3">
      <c r="I540">
        <v>537</v>
      </c>
      <c r="J540">
        <v>3.177616666547896</v>
      </c>
      <c r="K540">
        <v>0</v>
      </c>
      <c r="L540">
        <v>0</v>
      </c>
      <c r="M540">
        <v>3.177616666547896</v>
      </c>
      <c r="N540">
        <v>0</v>
      </c>
    </row>
    <row r="541" spans="9:14" x14ac:dyDescent="0.3">
      <c r="I541">
        <v>538</v>
      </c>
      <c r="J541">
        <v>2.435611099810902</v>
      </c>
      <c r="K541">
        <v>0</v>
      </c>
      <c r="L541">
        <v>0</v>
      </c>
      <c r="M541">
        <v>2.435611099810902</v>
      </c>
      <c r="N541">
        <v>1</v>
      </c>
    </row>
    <row r="542" spans="9:14" x14ac:dyDescent="0.3">
      <c r="I542">
        <v>539</v>
      </c>
      <c r="J542">
        <v>3.4531715482451708</v>
      </c>
      <c r="K542">
        <v>0</v>
      </c>
      <c r="L542">
        <v>0</v>
      </c>
      <c r="M542">
        <v>3.4531715482451708</v>
      </c>
      <c r="N542">
        <v>0</v>
      </c>
    </row>
    <row r="543" spans="9:14" x14ac:dyDescent="0.3">
      <c r="I543">
        <v>540</v>
      </c>
      <c r="J543">
        <v>3.0291111175758081</v>
      </c>
      <c r="K543">
        <v>0</v>
      </c>
      <c r="L543">
        <v>0</v>
      </c>
      <c r="M543">
        <v>3.0291111175758081</v>
      </c>
      <c r="N543">
        <v>0</v>
      </c>
    </row>
    <row r="544" spans="9:14" x14ac:dyDescent="0.3">
      <c r="I544">
        <v>541</v>
      </c>
      <c r="J544">
        <v>2.9223364191289209</v>
      </c>
      <c r="K544">
        <v>0</v>
      </c>
      <c r="L544">
        <v>0</v>
      </c>
      <c r="M544">
        <v>2.9223364191289209</v>
      </c>
      <c r="N544">
        <v>1</v>
      </c>
    </row>
    <row r="545" spans="9:14" x14ac:dyDescent="0.3">
      <c r="I545">
        <v>542</v>
      </c>
      <c r="J545">
        <v>3.3935908683141061</v>
      </c>
      <c r="K545">
        <v>0</v>
      </c>
      <c r="L545">
        <v>0</v>
      </c>
      <c r="M545">
        <v>3.3935908683141061</v>
      </c>
      <c r="N545">
        <v>0</v>
      </c>
    </row>
    <row r="546" spans="9:14" x14ac:dyDescent="0.3">
      <c r="I546">
        <v>543</v>
      </c>
      <c r="J546">
        <v>3.2220861522321602</v>
      </c>
      <c r="K546">
        <v>0</v>
      </c>
      <c r="L546">
        <v>0</v>
      </c>
      <c r="M546">
        <v>3.2220861522321602</v>
      </c>
      <c r="N546">
        <v>0</v>
      </c>
    </row>
    <row r="547" spans="9:14" x14ac:dyDescent="0.3">
      <c r="I547">
        <v>544</v>
      </c>
      <c r="J547">
        <v>2.7872386450959858</v>
      </c>
      <c r="K547">
        <v>0</v>
      </c>
      <c r="L547">
        <v>0</v>
      </c>
      <c r="M547">
        <v>2.7872386450959858</v>
      </c>
      <c r="N547">
        <v>1</v>
      </c>
    </row>
    <row r="548" spans="9:14" x14ac:dyDescent="0.3">
      <c r="I548">
        <v>545</v>
      </c>
      <c r="J548">
        <v>2.4624157749689068</v>
      </c>
      <c r="K548">
        <v>0</v>
      </c>
      <c r="L548">
        <v>0</v>
      </c>
      <c r="M548">
        <v>2.4624157749689068</v>
      </c>
      <c r="N548">
        <v>1</v>
      </c>
    </row>
    <row r="549" spans="9:14" x14ac:dyDescent="0.3">
      <c r="I549">
        <v>546</v>
      </c>
      <c r="J549">
        <v>3.0235009207990582</v>
      </c>
      <c r="K549">
        <v>0</v>
      </c>
      <c r="L549">
        <v>0</v>
      </c>
      <c r="M549">
        <v>3.0235009207990582</v>
      </c>
      <c r="N549">
        <v>0</v>
      </c>
    </row>
    <row r="550" spans="9:14" x14ac:dyDescent="0.3">
      <c r="I550">
        <v>547</v>
      </c>
      <c r="J550">
        <v>2.8059260636004479</v>
      </c>
      <c r="K550">
        <v>1</v>
      </c>
      <c r="L550">
        <v>1.002423748525755</v>
      </c>
      <c r="M550">
        <v>3.808349812126202</v>
      </c>
      <c r="N550">
        <v>0</v>
      </c>
    </row>
    <row r="551" spans="9:14" x14ac:dyDescent="0.3">
      <c r="I551">
        <v>548</v>
      </c>
      <c r="J551">
        <v>3.21115936872383</v>
      </c>
      <c r="K551">
        <v>0</v>
      </c>
      <c r="L551">
        <v>0</v>
      </c>
      <c r="M551">
        <v>3.21115936872383</v>
      </c>
      <c r="N551">
        <v>0</v>
      </c>
    </row>
    <row r="552" spans="9:14" x14ac:dyDescent="0.3">
      <c r="I552">
        <v>549</v>
      </c>
      <c r="J552">
        <v>2.5279968903035241</v>
      </c>
      <c r="K552">
        <v>0</v>
      </c>
      <c r="L552">
        <v>0</v>
      </c>
      <c r="M552">
        <v>2.5279968903035241</v>
      </c>
      <c r="N552">
        <v>1</v>
      </c>
    </row>
    <row r="553" spans="9:14" x14ac:dyDescent="0.3">
      <c r="I553">
        <v>550</v>
      </c>
      <c r="J553">
        <v>3.057409423685653</v>
      </c>
      <c r="K553">
        <v>0</v>
      </c>
      <c r="L553">
        <v>0</v>
      </c>
      <c r="M553">
        <v>3.057409423685653</v>
      </c>
      <c r="N553">
        <v>0</v>
      </c>
    </row>
    <row r="554" spans="9:14" x14ac:dyDescent="0.3">
      <c r="I554">
        <v>551</v>
      </c>
      <c r="J554">
        <v>2.8607176398180272</v>
      </c>
      <c r="K554">
        <v>0</v>
      </c>
      <c r="L554">
        <v>0</v>
      </c>
      <c r="M554">
        <v>2.8607176398180272</v>
      </c>
      <c r="N554">
        <v>1</v>
      </c>
    </row>
    <row r="555" spans="9:14" x14ac:dyDescent="0.3">
      <c r="I555">
        <v>552</v>
      </c>
      <c r="J555">
        <v>2.7774168750094228</v>
      </c>
      <c r="K555">
        <v>1</v>
      </c>
      <c r="L555">
        <v>1.9410183179616161</v>
      </c>
      <c r="M555">
        <v>4.7184351929710386</v>
      </c>
      <c r="N555">
        <v>0</v>
      </c>
    </row>
    <row r="556" spans="9:14" x14ac:dyDescent="0.3">
      <c r="I556">
        <v>553</v>
      </c>
      <c r="J556">
        <v>3.3335475501877392</v>
      </c>
      <c r="K556">
        <v>0</v>
      </c>
      <c r="L556">
        <v>0</v>
      </c>
      <c r="M556">
        <v>3.3335475501877392</v>
      </c>
      <c r="N556">
        <v>0</v>
      </c>
    </row>
    <row r="557" spans="9:14" x14ac:dyDescent="0.3">
      <c r="I557">
        <v>554</v>
      </c>
      <c r="J557">
        <v>2.4040851366669331</v>
      </c>
      <c r="K557">
        <v>0</v>
      </c>
      <c r="L557">
        <v>0</v>
      </c>
      <c r="M557">
        <v>2.4040851366669331</v>
      </c>
      <c r="N557">
        <v>1</v>
      </c>
    </row>
    <row r="558" spans="9:14" x14ac:dyDescent="0.3">
      <c r="I558">
        <v>555</v>
      </c>
      <c r="J558">
        <v>2.2477995504878669</v>
      </c>
      <c r="K558">
        <v>0</v>
      </c>
      <c r="L558">
        <v>0</v>
      </c>
      <c r="M558">
        <v>2.2477995504878669</v>
      </c>
      <c r="N558">
        <v>1</v>
      </c>
    </row>
    <row r="559" spans="9:14" x14ac:dyDescent="0.3">
      <c r="I559">
        <v>556</v>
      </c>
      <c r="J559">
        <v>2.3643595703023799</v>
      </c>
      <c r="K559">
        <v>0</v>
      </c>
      <c r="L559">
        <v>0</v>
      </c>
      <c r="M559">
        <v>2.3643595703023799</v>
      </c>
      <c r="N559">
        <v>1</v>
      </c>
    </row>
    <row r="560" spans="9:14" x14ac:dyDescent="0.3">
      <c r="I560">
        <v>557</v>
      </c>
      <c r="J560">
        <v>3.0285394778190389</v>
      </c>
      <c r="K560">
        <v>0</v>
      </c>
      <c r="L560">
        <v>0</v>
      </c>
      <c r="M560">
        <v>3.0285394778190389</v>
      </c>
      <c r="N560">
        <v>0</v>
      </c>
    </row>
    <row r="561" spans="9:14" x14ac:dyDescent="0.3">
      <c r="I561">
        <v>558</v>
      </c>
      <c r="J561">
        <v>2.4926987249516559</v>
      </c>
      <c r="K561">
        <v>0</v>
      </c>
      <c r="L561">
        <v>0</v>
      </c>
      <c r="M561">
        <v>2.4926987249516559</v>
      </c>
      <c r="N561">
        <v>1</v>
      </c>
    </row>
    <row r="562" spans="9:14" x14ac:dyDescent="0.3">
      <c r="I562">
        <v>559</v>
      </c>
      <c r="J562">
        <v>3.040632184837734</v>
      </c>
      <c r="K562">
        <v>0</v>
      </c>
      <c r="L562">
        <v>0</v>
      </c>
      <c r="M562">
        <v>3.040632184837734</v>
      </c>
      <c r="N562">
        <v>0</v>
      </c>
    </row>
    <row r="563" spans="9:14" x14ac:dyDescent="0.3">
      <c r="I563">
        <v>560</v>
      </c>
      <c r="J563">
        <v>2.2276842165261139</v>
      </c>
      <c r="K563">
        <v>0</v>
      </c>
      <c r="L563">
        <v>0</v>
      </c>
      <c r="M563">
        <v>2.2276842165261139</v>
      </c>
      <c r="N563">
        <v>1</v>
      </c>
    </row>
    <row r="564" spans="9:14" x14ac:dyDescent="0.3">
      <c r="I564">
        <v>561</v>
      </c>
      <c r="J564">
        <v>3.543554701176594</v>
      </c>
      <c r="K564">
        <v>0</v>
      </c>
      <c r="L564">
        <v>0</v>
      </c>
      <c r="M564">
        <v>3.543554701176594</v>
      </c>
      <c r="N564">
        <v>0</v>
      </c>
    </row>
    <row r="565" spans="9:14" x14ac:dyDescent="0.3">
      <c r="I565">
        <v>562</v>
      </c>
      <c r="J565">
        <v>2.8898123165258531</v>
      </c>
      <c r="K565">
        <v>0</v>
      </c>
      <c r="L565">
        <v>0</v>
      </c>
      <c r="M565">
        <v>2.8898123165258531</v>
      </c>
      <c r="N565">
        <v>1</v>
      </c>
    </row>
    <row r="566" spans="9:14" x14ac:dyDescent="0.3">
      <c r="I566">
        <v>563</v>
      </c>
      <c r="J566">
        <v>3.3078893391084221</v>
      </c>
      <c r="K566">
        <v>0</v>
      </c>
      <c r="L566">
        <v>0</v>
      </c>
      <c r="M566">
        <v>3.3078893391084221</v>
      </c>
      <c r="N566">
        <v>0</v>
      </c>
    </row>
    <row r="567" spans="9:14" x14ac:dyDescent="0.3">
      <c r="I567">
        <v>564</v>
      </c>
      <c r="J567">
        <v>2.4538259519708561</v>
      </c>
      <c r="K567">
        <v>0</v>
      </c>
      <c r="L567">
        <v>0</v>
      </c>
      <c r="M567">
        <v>2.4538259519708561</v>
      </c>
      <c r="N567">
        <v>1</v>
      </c>
    </row>
    <row r="568" spans="9:14" x14ac:dyDescent="0.3">
      <c r="I568">
        <v>565</v>
      </c>
      <c r="J568">
        <v>2.4413120631644931</v>
      </c>
      <c r="K568">
        <v>0</v>
      </c>
      <c r="L568">
        <v>0</v>
      </c>
      <c r="M568">
        <v>2.4413120631644931</v>
      </c>
      <c r="N568">
        <v>1</v>
      </c>
    </row>
    <row r="569" spans="9:14" x14ac:dyDescent="0.3">
      <c r="I569">
        <v>566</v>
      </c>
      <c r="J569">
        <v>3.095959728514428</v>
      </c>
      <c r="K569">
        <v>0</v>
      </c>
      <c r="L569">
        <v>0</v>
      </c>
      <c r="M569">
        <v>3.095959728514428</v>
      </c>
      <c r="N569">
        <v>0</v>
      </c>
    </row>
    <row r="570" spans="9:14" x14ac:dyDescent="0.3">
      <c r="I570">
        <v>567</v>
      </c>
      <c r="J570">
        <v>3.2819548060335522</v>
      </c>
      <c r="K570">
        <v>0</v>
      </c>
      <c r="L570">
        <v>0</v>
      </c>
      <c r="M570">
        <v>3.2819548060335522</v>
      </c>
      <c r="N570">
        <v>0</v>
      </c>
    </row>
    <row r="571" spans="9:14" x14ac:dyDescent="0.3">
      <c r="I571">
        <v>568</v>
      </c>
      <c r="J571">
        <v>3.5458144456618572</v>
      </c>
      <c r="K571">
        <v>0</v>
      </c>
      <c r="L571">
        <v>0</v>
      </c>
      <c r="M571">
        <v>3.5458144456618572</v>
      </c>
      <c r="N571">
        <v>0</v>
      </c>
    </row>
    <row r="572" spans="9:14" x14ac:dyDescent="0.3">
      <c r="I572">
        <v>569</v>
      </c>
      <c r="J572">
        <v>3.4060446687219281</v>
      </c>
      <c r="K572">
        <v>0</v>
      </c>
      <c r="L572">
        <v>0</v>
      </c>
      <c r="M572">
        <v>3.4060446687219281</v>
      </c>
      <c r="N572">
        <v>0</v>
      </c>
    </row>
    <row r="573" spans="9:14" x14ac:dyDescent="0.3">
      <c r="I573">
        <v>570</v>
      </c>
      <c r="J573">
        <v>3.1595609707358481</v>
      </c>
      <c r="K573">
        <v>0</v>
      </c>
      <c r="L573">
        <v>0</v>
      </c>
      <c r="M573">
        <v>3.1595609707358481</v>
      </c>
      <c r="N573">
        <v>0</v>
      </c>
    </row>
    <row r="574" spans="9:14" x14ac:dyDescent="0.3">
      <c r="I574">
        <v>571</v>
      </c>
      <c r="J574">
        <v>3.1207044693928601</v>
      </c>
      <c r="K574">
        <v>1</v>
      </c>
      <c r="L574">
        <v>1.8084960317816621</v>
      </c>
      <c r="M574">
        <v>4.9292005011745221</v>
      </c>
      <c r="N574">
        <v>0</v>
      </c>
    </row>
    <row r="575" spans="9:14" x14ac:dyDescent="0.3">
      <c r="I575">
        <v>572</v>
      </c>
      <c r="J575">
        <v>3.4836243625774088</v>
      </c>
      <c r="K575">
        <v>0</v>
      </c>
      <c r="L575">
        <v>0</v>
      </c>
      <c r="M575">
        <v>3.4836243625774088</v>
      </c>
      <c r="N575">
        <v>0</v>
      </c>
    </row>
    <row r="576" spans="9:14" x14ac:dyDescent="0.3">
      <c r="I576">
        <v>573</v>
      </c>
      <c r="J576">
        <v>2.8786520059830858</v>
      </c>
      <c r="K576">
        <v>0</v>
      </c>
      <c r="L576">
        <v>0</v>
      </c>
      <c r="M576">
        <v>2.8786520059830858</v>
      </c>
      <c r="N576">
        <v>1</v>
      </c>
    </row>
    <row r="577" spans="9:14" x14ac:dyDescent="0.3">
      <c r="I577">
        <v>574</v>
      </c>
      <c r="J577">
        <v>2.4477005549278918</v>
      </c>
      <c r="K577">
        <v>0</v>
      </c>
      <c r="L577">
        <v>0</v>
      </c>
      <c r="M577">
        <v>2.4477005549278918</v>
      </c>
      <c r="N577">
        <v>1</v>
      </c>
    </row>
    <row r="578" spans="9:14" x14ac:dyDescent="0.3">
      <c r="I578">
        <v>575</v>
      </c>
      <c r="J578">
        <v>2.6943682686205181</v>
      </c>
      <c r="K578">
        <v>0</v>
      </c>
      <c r="L578">
        <v>0</v>
      </c>
      <c r="M578">
        <v>2.6943682686205181</v>
      </c>
      <c r="N578">
        <v>1</v>
      </c>
    </row>
    <row r="579" spans="9:14" x14ac:dyDescent="0.3">
      <c r="I579">
        <v>576</v>
      </c>
      <c r="J579">
        <v>2.8235257237938738</v>
      </c>
      <c r="K579">
        <v>0</v>
      </c>
      <c r="L579">
        <v>0</v>
      </c>
      <c r="M579">
        <v>2.8235257237938738</v>
      </c>
      <c r="N579">
        <v>1</v>
      </c>
    </row>
    <row r="580" spans="9:14" x14ac:dyDescent="0.3">
      <c r="I580">
        <v>577</v>
      </c>
      <c r="J580">
        <v>2.890543732450741</v>
      </c>
      <c r="K580">
        <v>0</v>
      </c>
      <c r="L580">
        <v>0</v>
      </c>
      <c r="M580">
        <v>2.890543732450741</v>
      </c>
      <c r="N580">
        <v>1</v>
      </c>
    </row>
    <row r="581" spans="9:14" x14ac:dyDescent="0.3">
      <c r="I581">
        <v>578</v>
      </c>
      <c r="J581">
        <v>2.8555416943330489</v>
      </c>
      <c r="K581">
        <v>0</v>
      </c>
      <c r="L581">
        <v>0</v>
      </c>
      <c r="M581">
        <v>2.8555416943330489</v>
      </c>
      <c r="N581">
        <v>1</v>
      </c>
    </row>
    <row r="582" spans="9:14" x14ac:dyDescent="0.3">
      <c r="I582">
        <v>579</v>
      </c>
      <c r="J582">
        <v>3.6313076435417462</v>
      </c>
      <c r="K582">
        <v>0</v>
      </c>
      <c r="L582">
        <v>0</v>
      </c>
      <c r="M582">
        <v>3.6313076435417462</v>
      </c>
      <c r="N582">
        <v>0</v>
      </c>
    </row>
    <row r="583" spans="9:14" x14ac:dyDescent="0.3">
      <c r="I583">
        <v>580</v>
      </c>
      <c r="J583">
        <v>3.5322673812934831</v>
      </c>
      <c r="K583">
        <v>0</v>
      </c>
      <c r="L583">
        <v>0</v>
      </c>
      <c r="M583">
        <v>3.5322673812934831</v>
      </c>
      <c r="N583">
        <v>0</v>
      </c>
    </row>
    <row r="584" spans="9:14" x14ac:dyDescent="0.3">
      <c r="I584">
        <v>581</v>
      </c>
      <c r="J584">
        <v>3.4485797925888129</v>
      </c>
      <c r="K584">
        <v>0</v>
      </c>
      <c r="L584">
        <v>0</v>
      </c>
      <c r="M584">
        <v>3.4485797925888129</v>
      </c>
      <c r="N584">
        <v>0</v>
      </c>
    </row>
    <row r="585" spans="9:14" x14ac:dyDescent="0.3">
      <c r="I585">
        <v>582</v>
      </c>
      <c r="J585">
        <v>3.0388889106195118</v>
      </c>
      <c r="K585">
        <v>0</v>
      </c>
      <c r="L585">
        <v>0</v>
      </c>
      <c r="M585">
        <v>3.0388889106195118</v>
      </c>
      <c r="N585">
        <v>0</v>
      </c>
    </row>
    <row r="586" spans="9:14" x14ac:dyDescent="0.3">
      <c r="I586">
        <v>583</v>
      </c>
      <c r="J586">
        <v>2.6008417359488969</v>
      </c>
      <c r="K586">
        <v>0</v>
      </c>
      <c r="L586">
        <v>0</v>
      </c>
      <c r="M586">
        <v>2.6008417359488969</v>
      </c>
      <c r="N586">
        <v>1</v>
      </c>
    </row>
    <row r="587" spans="9:14" x14ac:dyDescent="0.3">
      <c r="I587">
        <v>584</v>
      </c>
      <c r="J587">
        <v>2.354138054255265</v>
      </c>
      <c r="K587">
        <v>0</v>
      </c>
      <c r="L587">
        <v>0</v>
      </c>
      <c r="M587">
        <v>2.354138054255265</v>
      </c>
      <c r="N587">
        <v>1</v>
      </c>
    </row>
    <row r="588" spans="9:14" x14ac:dyDescent="0.3">
      <c r="I588">
        <v>585</v>
      </c>
      <c r="J588">
        <v>3.1940974576638421</v>
      </c>
      <c r="K588">
        <v>0</v>
      </c>
      <c r="L588">
        <v>0</v>
      </c>
      <c r="M588">
        <v>3.1940974576638421</v>
      </c>
      <c r="N588">
        <v>0</v>
      </c>
    </row>
    <row r="589" spans="9:14" x14ac:dyDescent="0.3">
      <c r="I589">
        <v>586</v>
      </c>
      <c r="J589">
        <v>3.0489497368117839</v>
      </c>
      <c r="K589">
        <v>0</v>
      </c>
      <c r="L589">
        <v>0</v>
      </c>
      <c r="M589">
        <v>3.0489497368117839</v>
      </c>
      <c r="N589">
        <v>0</v>
      </c>
    </row>
    <row r="590" spans="9:14" x14ac:dyDescent="0.3">
      <c r="I590">
        <v>587</v>
      </c>
      <c r="J590">
        <v>2.0853275147122901</v>
      </c>
      <c r="K590">
        <v>0</v>
      </c>
      <c r="L590">
        <v>0</v>
      </c>
      <c r="M590">
        <v>2.0853275147122901</v>
      </c>
      <c r="N590">
        <v>1</v>
      </c>
    </row>
    <row r="591" spans="9:14" x14ac:dyDescent="0.3">
      <c r="I591">
        <v>588</v>
      </c>
      <c r="J591">
        <v>2.7327364660873279</v>
      </c>
      <c r="K591">
        <v>0</v>
      </c>
      <c r="L591">
        <v>0</v>
      </c>
      <c r="M591">
        <v>2.7327364660873279</v>
      </c>
      <c r="N591">
        <v>1</v>
      </c>
    </row>
    <row r="592" spans="9:14" x14ac:dyDescent="0.3">
      <c r="I592">
        <v>589</v>
      </c>
      <c r="J592">
        <v>3.4981085051530121</v>
      </c>
      <c r="K592">
        <v>0</v>
      </c>
      <c r="L592">
        <v>0</v>
      </c>
      <c r="M592">
        <v>3.4981085051530121</v>
      </c>
      <c r="N592">
        <v>0</v>
      </c>
    </row>
    <row r="593" spans="9:14" x14ac:dyDescent="0.3">
      <c r="I593">
        <v>590</v>
      </c>
      <c r="J593">
        <v>2.9565650695700829</v>
      </c>
      <c r="K593">
        <v>0</v>
      </c>
      <c r="L593">
        <v>0</v>
      </c>
      <c r="M593">
        <v>2.9565650695700829</v>
      </c>
      <c r="N593">
        <v>1</v>
      </c>
    </row>
    <row r="594" spans="9:14" x14ac:dyDescent="0.3">
      <c r="I594">
        <v>591</v>
      </c>
      <c r="J594">
        <v>2.9503782358642692</v>
      </c>
      <c r="K594">
        <v>0</v>
      </c>
      <c r="L594">
        <v>0</v>
      </c>
      <c r="M594">
        <v>2.9503782358642692</v>
      </c>
      <c r="N594">
        <v>1</v>
      </c>
    </row>
    <row r="595" spans="9:14" x14ac:dyDescent="0.3">
      <c r="I595">
        <v>592</v>
      </c>
      <c r="J595">
        <v>3.5932253239054992</v>
      </c>
      <c r="K595">
        <v>0</v>
      </c>
      <c r="L595">
        <v>0</v>
      </c>
      <c r="M595">
        <v>3.5932253239054992</v>
      </c>
      <c r="N595">
        <v>0</v>
      </c>
    </row>
    <row r="596" spans="9:14" x14ac:dyDescent="0.3">
      <c r="I596">
        <v>593</v>
      </c>
      <c r="J596">
        <v>3.2926168414212111</v>
      </c>
      <c r="K596">
        <v>0</v>
      </c>
      <c r="L596">
        <v>0</v>
      </c>
      <c r="M596">
        <v>3.2926168414212111</v>
      </c>
      <c r="N596">
        <v>0</v>
      </c>
    </row>
    <row r="597" spans="9:14" x14ac:dyDescent="0.3">
      <c r="I597">
        <v>594</v>
      </c>
      <c r="J597">
        <v>3.0372242648162051</v>
      </c>
      <c r="K597">
        <v>0</v>
      </c>
      <c r="L597">
        <v>0</v>
      </c>
      <c r="M597">
        <v>3.0372242648162051</v>
      </c>
      <c r="N597">
        <v>0</v>
      </c>
    </row>
    <row r="598" spans="9:14" x14ac:dyDescent="0.3">
      <c r="I598">
        <v>595</v>
      </c>
      <c r="J598">
        <v>2.6499138109969</v>
      </c>
      <c r="K598">
        <v>1</v>
      </c>
      <c r="L598">
        <v>1.705314711549341</v>
      </c>
      <c r="M598">
        <v>4.3552285225462413</v>
      </c>
      <c r="N598">
        <v>0</v>
      </c>
    </row>
    <row r="599" spans="9:14" x14ac:dyDescent="0.3">
      <c r="I599">
        <v>596</v>
      </c>
      <c r="J599">
        <v>3.255081107731344</v>
      </c>
      <c r="K599">
        <v>0</v>
      </c>
      <c r="L599">
        <v>0</v>
      </c>
      <c r="M599">
        <v>3.255081107731344</v>
      </c>
      <c r="N599">
        <v>0</v>
      </c>
    </row>
    <row r="600" spans="9:14" x14ac:dyDescent="0.3">
      <c r="I600">
        <v>597</v>
      </c>
      <c r="J600">
        <v>2.3388294651212558</v>
      </c>
      <c r="K600">
        <v>0</v>
      </c>
      <c r="L600">
        <v>0</v>
      </c>
      <c r="M600">
        <v>2.3388294651212558</v>
      </c>
      <c r="N600">
        <v>1</v>
      </c>
    </row>
    <row r="601" spans="9:14" x14ac:dyDescent="0.3">
      <c r="I601">
        <v>598</v>
      </c>
      <c r="J601">
        <v>2.886825431609731</v>
      </c>
      <c r="K601">
        <v>0</v>
      </c>
      <c r="L601">
        <v>0</v>
      </c>
      <c r="M601">
        <v>2.886825431609731</v>
      </c>
      <c r="N601">
        <v>1</v>
      </c>
    </row>
    <row r="602" spans="9:14" x14ac:dyDescent="0.3">
      <c r="I602">
        <v>599</v>
      </c>
      <c r="J602">
        <v>2.3549289854791389</v>
      </c>
      <c r="K602">
        <v>0</v>
      </c>
      <c r="L602">
        <v>0</v>
      </c>
      <c r="M602">
        <v>2.3549289854791389</v>
      </c>
      <c r="N602">
        <v>1</v>
      </c>
    </row>
    <row r="603" spans="9:14" x14ac:dyDescent="0.3">
      <c r="I603">
        <v>600</v>
      </c>
      <c r="J603">
        <v>2.4947040253414281</v>
      </c>
      <c r="K603">
        <v>0</v>
      </c>
      <c r="L603">
        <v>0</v>
      </c>
      <c r="M603">
        <v>2.4947040253414281</v>
      </c>
      <c r="N603">
        <v>1</v>
      </c>
    </row>
    <row r="604" spans="9:14" x14ac:dyDescent="0.3">
      <c r="I604">
        <v>601</v>
      </c>
      <c r="J604">
        <v>3.3712684446101191</v>
      </c>
      <c r="K604">
        <v>0</v>
      </c>
      <c r="L604">
        <v>0</v>
      </c>
      <c r="M604">
        <v>3.3712684446101191</v>
      </c>
      <c r="N604">
        <v>0</v>
      </c>
    </row>
    <row r="605" spans="9:14" x14ac:dyDescent="0.3">
      <c r="I605">
        <v>602</v>
      </c>
      <c r="J605">
        <v>3.6242191509855188</v>
      </c>
      <c r="K605">
        <v>0</v>
      </c>
      <c r="L605">
        <v>0</v>
      </c>
      <c r="M605">
        <v>3.6242191509855188</v>
      </c>
      <c r="N605">
        <v>0</v>
      </c>
    </row>
    <row r="606" spans="9:14" x14ac:dyDescent="0.3">
      <c r="I606">
        <v>603</v>
      </c>
      <c r="J606">
        <v>3.300044283046391</v>
      </c>
      <c r="K606">
        <v>0</v>
      </c>
      <c r="L606">
        <v>0</v>
      </c>
      <c r="M606">
        <v>3.300044283046391</v>
      </c>
      <c r="N606">
        <v>0</v>
      </c>
    </row>
    <row r="607" spans="9:14" x14ac:dyDescent="0.3">
      <c r="I607">
        <v>604</v>
      </c>
      <c r="J607">
        <v>3.0585556089624828</v>
      </c>
      <c r="K607">
        <v>0</v>
      </c>
      <c r="L607">
        <v>0</v>
      </c>
      <c r="M607">
        <v>3.0585556089624828</v>
      </c>
      <c r="N607">
        <v>0</v>
      </c>
    </row>
    <row r="608" spans="9:14" x14ac:dyDescent="0.3">
      <c r="I608">
        <v>605</v>
      </c>
      <c r="J608">
        <v>3.200517324700376</v>
      </c>
      <c r="K608">
        <v>0</v>
      </c>
      <c r="L608">
        <v>0</v>
      </c>
      <c r="M608">
        <v>3.200517324700376</v>
      </c>
      <c r="N608">
        <v>0</v>
      </c>
    </row>
    <row r="609" spans="9:14" x14ac:dyDescent="0.3">
      <c r="I609">
        <v>606</v>
      </c>
      <c r="J609">
        <v>3.542597699685718</v>
      </c>
      <c r="K609">
        <v>0</v>
      </c>
      <c r="L609">
        <v>0</v>
      </c>
      <c r="M609">
        <v>3.542597699685718</v>
      </c>
      <c r="N609">
        <v>0</v>
      </c>
    </row>
    <row r="610" spans="9:14" x14ac:dyDescent="0.3">
      <c r="I610">
        <v>607</v>
      </c>
      <c r="J610">
        <v>3.5612569323954841</v>
      </c>
      <c r="K610">
        <v>1</v>
      </c>
      <c r="L610">
        <v>1.835175629616872</v>
      </c>
      <c r="M610">
        <v>5.3964325620123557</v>
      </c>
      <c r="N610">
        <v>0</v>
      </c>
    </row>
    <row r="611" spans="9:14" x14ac:dyDescent="0.3">
      <c r="I611">
        <v>608</v>
      </c>
      <c r="J611">
        <v>3.033997015645812</v>
      </c>
      <c r="K611">
        <v>0</v>
      </c>
      <c r="L611">
        <v>0</v>
      </c>
      <c r="M611">
        <v>3.033997015645812</v>
      </c>
      <c r="N611">
        <v>0</v>
      </c>
    </row>
    <row r="612" spans="9:14" x14ac:dyDescent="0.3">
      <c r="I612">
        <v>609</v>
      </c>
      <c r="J612">
        <v>2.9685481886813672</v>
      </c>
      <c r="K612">
        <v>0</v>
      </c>
      <c r="L612">
        <v>0</v>
      </c>
      <c r="M612">
        <v>2.9685481886813672</v>
      </c>
      <c r="N612">
        <v>1</v>
      </c>
    </row>
    <row r="613" spans="9:14" x14ac:dyDescent="0.3">
      <c r="I613">
        <v>610</v>
      </c>
      <c r="J613">
        <v>3.2160523304959301</v>
      </c>
      <c r="K613">
        <v>0</v>
      </c>
      <c r="L613">
        <v>0</v>
      </c>
      <c r="M613">
        <v>3.2160523304959301</v>
      </c>
      <c r="N613">
        <v>0</v>
      </c>
    </row>
    <row r="614" spans="9:14" x14ac:dyDescent="0.3">
      <c r="I614">
        <v>611</v>
      </c>
      <c r="J614">
        <v>3.0358443058451101</v>
      </c>
      <c r="K614">
        <v>0</v>
      </c>
      <c r="L614">
        <v>0</v>
      </c>
      <c r="M614">
        <v>3.0358443058451101</v>
      </c>
      <c r="N614">
        <v>0</v>
      </c>
    </row>
    <row r="615" spans="9:14" x14ac:dyDescent="0.3">
      <c r="I615">
        <v>612</v>
      </c>
      <c r="J615">
        <v>2.9181539831992178</v>
      </c>
      <c r="K615">
        <v>1</v>
      </c>
      <c r="L615">
        <v>1.6619733684307849</v>
      </c>
      <c r="M615">
        <v>4.5801273516300034</v>
      </c>
      <c r="N615">
        <v>0</v>
      </c>
    </row>
    <row r="616" spans="9:14" x14ac:dyDescent="0.3">
      <c r="I616">
        <v>613</v>
      </c>
      <c r="J616">
        <v>2.48646596691691</v>
      </c>
      <c r="K616">
        <v>0</v>
      </c>
      <c r="L616">
        <v>0</v>
      </c>
      <c r="M616">
        <v>2.48646596691691</v>
      </c>
      <c r="N616">
        <v>1</v>
      </c>
    </row>
    <row r="617" spans="9:14" x14ac:dyDescent="0.3">
      <c r="I617">
        <v>614</v>
      </c>
      <c r="J617">
        <v>3.3348385105679492</v>
      </c>
      <c r="K617">
        <v>0</v>
      </c>
      <c r="L617">
        <v>0</v>
      </c>
      <c r="M617">
        <v>3.3348385105679492</v>
      </c>
      <c r="N617">
        <v>0</v>
      </c>
    </row>
    <row r="618" spans="9:14" x14ac:dyDescent="0.3">
      <c r="I618">
        <v>615</v>
      </c>
      <c r="J618">
        <v>3.1508201480016789</v>
      </c>
      <c r="K618">
        <v>0</v>
      </c>
      <c r="L618">
        <v>0</v>
      </c>
      <c r="M618">
        <v>3.1508201480016789</v>
      </c>
      <c r="N618">
        <v>0</v>
      </c>
    </row>
    <row r="619" spans="9:14" x14ac:dyDescent="0.3">
      <c r="I619">
        <v>616</v>
      </c>
      <c r="J619">
        <v>3.8746641350569688</v>
      </c>
      <c r="K619">
        <v>0</v>
      </c>
      <c r="L619">
        <v>0</v>
      </c>
      <c r="M619">
        <v>3.8746641350569688</v>
      </c>
      <c r="N619">
        <v>0</v>
      </c>
    </row>
    <row r="620" spans="9:14" x14ac:dyDescent="0.3">
      <c r="I620">
        <v>617</v>
      </c>
      <c r="J620">
        <v>2.9423205917101081</v>
      </c>
      <c r="K620">
        <v>0</v>
      </c>
      <c r="L620">
        <v>0</v>
      </c>
      <c r="M620">
        <v>2.9423205917101081</v>
      </c>
      <c r="N620">
        <v>1</v>
      </c>
    </row>
    <row r="621" spans="9:14" x14ac:dyDescent="0.3">
      <c r="I621">
        <v>618</v>
      </c>
      <c r="J621">
        <v>2.3916953712881202</v>
      </c>
      <c r="K621">
        <v>0</v>
      </c>
      <c r="L621">
        <v>0</v>
      </c>
      <c r="M621">
        <v>2.3916953712881202</v>
      </c>
      <c r="N621">
        <v>1</v>
      </c>
    </row>
    <row r="622" spans="9:14" x14ac:dyDescent="0.3">
      <c r="I622">
        <v>619</v>
      </c>
      <c r="J622">
        <v>2.560282086258026</v>
      </c>
      <c r="K622">
        <v>0</v>
      </c>
      <c r="L622">
        <v>0</v>
      </c>
      <c r="M622">
        <v>2.560282086258026</v>
      </c>
      <c r="N622">
        <v>1</v>
      </c>
    </row>
    <row r="623" spans="9:14" x14ac:dyDescent="0.3">
      <c r="I623">
        <v>620</v>
      </c>
      <c r="J623">
        <v>3.4934087030892731</v>
      </c>
      <c r="K623">
        <v>0</v>
      </c>
      <c r="L623">
        <v>0</v>
      </c>
      <c r="M623">
        <v>3.4934087030892731</v>
      </c>
      <c r="N623">
        <v>0</v>
      </c>
    </row>
    <row r="624" spans="9:14" x14ac:dyDescent="0.3">
      <c r="I624">
        <v>621</v>
      </c>
      <c r="J624">
        <v>3.143611293345332</v>
      </c>
      <c r="K624">
        <v>0</v>
      </c>
      <c r="L624">
        <v>0</v>
      </c>
      <c r="M624">
        <v>3.143611293345332</v>
      </c>
      <c r="N624">
        <v>0</v>
      </c>
    </row>
    <row r="625" spans="9:14" x14ac:dyDescent="0.3">
      <c r="I625">
        <v>622</v>
      </c>
      <c r="J625">
        <v>2.805830151896425</v>
      </c>
      <c r="K625">
        <v>0</v>
      </c>
      <c r="L625">
        <v>0</v>
      </c>
      <c r="M625">
        <v>2.805830151896425</v>
      </c>
      <c r="N625">
        <v>1</v>
      </c>
    </row>
    <row r="626" spans="9:14" x14ac:dyDescent="0.3">
      <c r="I626">
        <v>623</v>
      </c>
      <c r="J626">
        <v>3.30914016198065</v>
      </c>
      <c r="K626">
        <v>0</v>
      </c>
      <c r="L626">
        <v>0</v>
      </c>
      <c r="M626">
        <v>3.30914016198065</v>
      </c>
      <c r="N626">
        <v>0</v>
      </c>
    </row>
    <row r="627" spans="9:14" x14ac:dyDescent="0.3">
      <c r="I627">
        <v>624</v>
      </c>
      <c r="J627">
        <v>3.1968020160735628</v>
      </c>
      <c r="K627">
        <v>0</v>
      </c>
      <c r="L627">
        <v>0</v>
      </c>
      <c r="M627">
        <v>3.1968020160735628</v>
      </c>
      <c r="N627">
        <v>0</v>
      </c>
    </row>
    <row r="628" spans="9:14" x14ac:dyDescent="0.3">
      <c r="I628">
        <v>625</v>
      </c>
      <c r="J628">
        <v>3.6011333842721709</v>
      </c>
      <c r="K628">
        <v>0</v>
      </c>
      <c r="L628">
        <v>0</v>
      </c>
      <c r="M628">
        <v>3.6011333842721709</v>
      </c>
      <c r="N628">
        <v>0</v>
      </c>
    </row>
    <row r="629" spans="9:14" x14ac:dyDescent="0.3">
      <c r="I629">
        <v>626</v>
      </c>
      <c r="J629">
        <v>3.7360869149042828</v>
      </c>
      <c r="K629">
        <v>0</v>
      </c>
      <c r="L629">
        <v>0</v>
      </c>
      <c r="M629">
        <v>3.7360869149042828</v>
      </c>
      <c r="N629">
        <v>0</v>
      </c>
    </row>
    <row r="630" spans="9:14" x14ac:dyDescent="0.3">
      <c r="I630">
        <v>627</v>
      </c>
      <c r="J630">
        <v>2.6509879215121881</v>
      </c>
      <c r="K630">
        <v>0</v>
      </c>
      <c r="L630">
        <v>0</v>
      </c>
      <c r="M630">
        <v>2.6509879215121881</v>
      </c>
      <c r="N630">
        <v>1</v>
      </c>
    </row>
    <row r="631" spans="9:14" x14ac:dyDescent="0.3">
      <c r="I631">
        <v>628</v>
      </c>
      <c r="J631">
        <v>3.0616016669013568</v>
      </c>
      <c r="K631">
        <v>0</v>
      </c>
      <c r="L631">
        <v>0</v>
      </c>
      <c r="M631">
        <v>3.0616016669013568</v>
      </c>
      <c r="N631">
        <v>0</v>
      </c>
    </row>
    <row r="632" spans="9:14" x14ac:dyDescent="0.3">
      <c r="I632">
        <v>629</v>
      </c>
      <c r="J632">
        <v>3.1899114319408808</v>
      </c>
      <c r="K632">
        <v>0</v>
      </c>
      <c r="L632">
        <v>0</v>
      </c>
      <c r="M632">
        <v>3.1899114319408808</v>
      </c>
      <c r="N632">
        <v>0</v>
      </c>
    </row>
    <row r="633" spans="9:14" x14ac:dyDescent="0.3">
      <c r="I633">
        <v>630</v>
      </c>
      <c r="J633">
        <v>2.873910604162107</v>
      </c>
      <c r="K633">
        <v>0</v>
      </c>
      <c r="L633">
        <v>0</v>
      </c>
      <c r="M633">
        <v>2.873910604162107</v>
      </c>
      <c r="N633">
        <v>1</v>
      </c>
    </row>
    <row r="634" spans="9:14" x14ac:dyDescent="0.3">
      <c r="I634">
        <v>631</v>
      </c>
      <c r="J634">
        <v>2.8871877214548172</v>
      </c>
      <c r="K634">
        <v>0</v>
      </c>
      <c r="L634">
        <v>0</v>
      </c>
      <c r="M634">
        <v>2.8871877214548172</v>
      </c>
      <c r="N634">
        <v>1</v>
      </c>
    </row>
    <row r="635" spans="9:14" x14ac:dyDescent="0.3">
      <c r="I635">
        <v>632</v>
      </c>
      <c r="J635">
        <v>3.143818506517901</v>
      </c>
      <c r="K635">
        <v>0</v>
      </c>
      <c r="L635">
        <v>0</v>
      </c>
      <c r="M635">
        <v>3.143818506517901</v>
      </c>
      <c r="N635">
        <v>0</v>
      </c>
    </row>
    <row r="636" spans="9:14" x14ac:dyDescent="0.3">
      <c r="I636">
        <v>633</v>
      </c>
      <c r="J636">
        <v>3.7514378395676129</v>
      </c>
      <c r="K636">
        <v>0</v>
      </c>
      <c r="L636">
        <v>0</v>
      </c>
      <c r="M636">
        <v>3.7514378395676129</v>
      </c>
      <c r="N636">
        <v>0</v>
      </c>
    </row>
    <row r="637" spans="9:14" x14ac:dyDescent="0.3">
      <c r="I637">
        <v>634</v>
      </c>
      <c r="J637">
        <v>2.7162351288589348</v>
      </c>
      <c r="K637">
        <v>1</v>
      </c>
      <c r="L637">
        <v>1.835488213595184</v>
      </c>
      <c r="M637">
        <v>4.5517233424541184</v>
      </c>
      <c r="N637">
        <v>0</v>
      </c>
    </row>
    <row r="638" spans="9:14" x14ac:dyDescent="0.3">
      <c r="I638">
        <v>635</v>
      </c>
      <c r="J638">
        <v>2.9242181207447469</v>
      </c>
      <c r="K638">
        <v>0</v>
      </c>
      <c r="L638">
        <v>0</v>
      </c>
      <c r="M638">
        <v>2.9242181207447469</v>
      </c>
      <c r="N638">
        <v>1</v>
      </c>
    </row>
    <row r="639" spans="9:14" x14ac:dyDescent="0.3">
      <c r="I639">
        <v>636</v>
      </c>
      <c r="J639">
        <v>3.062064611297425</v>
      </c>
      <c r="K639">
        <v>0</v>
      </c>
      <c r="L639">
        <v>0</v>
      </c>
      <c r="M639">
        <v>3.062064611297425</v>
      </c>
      <c r="N639">
        <v>0</v>
      </c>
    </row>
    <row r="640" spans="9:14" x14ac:dyDescent="0.3">
      <c r="I640">
        <v>637</v>
      </c>
      <c r="J640">
        <v>3.0355765496140128</v>
      </c>
      <c r="K640">
        <v>0</v>
      </c>
      <c r="L640">
        <v>0</v>
      </c>
      <c r="M640">
        <v>3.0355765496140128</v>
      </c>
      <c r="N640">
        <v>0</v>
      </c>
    </row>
    <row r="641" spans="9:14" x14ac:dyDescent="0.3">
      <c r="I641">
        <v>638</v>
      </c>
      <c r="J641">
        <v>3.5276879106770802</v>
      </c>
      <c r="K641">
        <v>0</v>
      </c>
      <c r="L641">
        <v>0</v>
      </c>
      <c r="M641">
        <v>3.5276879106770802</v>
      </c>
      <c r="N641">
        <v>0</v>
      </c>
    </row>
    <row r="642" spans="9:14" x14ac:dyDescent="0.3">
      <c r="I642">
        <v>639</v>
      </c>
      <c r="J642">
        <v>3.0560479192495649</v>
      </c>
      <c r="K642">
        <v>1</v>
      </c>
      <c r="L642">
        <v>1.093607015254231</v>
      </c>
      <c r="M642">
        <v>4.1496549345037952</v>
      </c>
      <c r="N642">
        <v>0</v>
      </c>
    </row>
    <row r="643" spans="9:14" x14ac:dyDescent="0.3">
      <c r="I643">
        <v>640</v>
      </c>
      <c r="J643">
        <v>2.6513094811539948</v>
      </c>
      <c r="K643">
        <v>0</v>
      </c>
      <c r="L643">
        <v>0</v>
      </c>
      <c r="M643">
        <v>2.6513094811539948</v>
      </c>
      <c r="N643">
        <v>1</v>
      </c>
    </row>
    <row r="644" spans="9:14" x14ac:dyDescent="0.3">
      <c r="I644">
        <v>641</v>
      </c>
      <c r="J644">
        <v>2.760837678653294</v>
      </c>
      <c r="K644">
        <v>1</v>
      </c>
      <c r="L644">
        <v>1.345032487648276</v>
      </c>
      <c r="M644">
        <v>4.1058701663015693</v>
      </c>
      <c r="N644">
        <v>0</v>
      </c>
    </row>
    <row r="645" spans="9:14" x14ac:dyDescent="0.3">
      <c r="I645">
        <v>642</v>
      </c>
      <c r="J645">
        <v>2.8859339143489109</v>
      </c>
      <c r="K645">
        <v>0</v>
      </c>
      <c r="L645">
        <v>0</v>
      </c>
      <c r="M645">
        <v>2.8859339143489109</v>
      </c>
      <c r="N645">
        <v>1</v>
      </c>
    </row>
    <row r="646" spans="9:14" x14ac:dyDescent="0.3">
      <c r="I646">
        <v>643</v>
      </c>
      <c r="J646">
        <v>2.8002330300182039</v>
      </c>
      <c r="K646">
        <v>0</v>
      </c>
      <c r="L646">
        <v>0</v>
      </c>
      <c r="M646">
        <v>2.8002330300182039</v>
      </c>
      <c r="N646">
        <v>1</v>
      </c>
    </row>
    <row r="647" spans="9:14" x14ac:dyDescent="0.3">
      <c r="I647">
        <v>644</v>
      </c>
      <c r="J647">
        <v>2.5462024197426478</v>
      </c>
      <c r="K647">
        <v>0</v>
      </c>
      <c r="L647">
        <v>0</v>
      </c>
      <c r="M647">
        <v>2.5462024197426478</v>
      </c>
      <c r="N647">
        <v>1</v>
      </c>
    </row>
    <row r="648" spans="9:14" x14ac:dyDescent="0.3">
      <c r="I648">
        <v>645</v>
      </c>
      <c r="J648">
        <v>2.7024650832354582</v>
      </c>
      <c r="K648">
        <v>0</v>
      </c>
      <c r="L648">
        <v>0</v>
      </c>
      <c r="M648">
        <v>2.7024650832354582</v>
      </c>
      <c r="N648">
        <v>1</v>
      </c>
    </row>
    <row r="649" spans="9:14" x14ac:dyDescent="0.3">
      <c r="I649">
        <v>646</v>
      </c>
      <c r="J649">
        <v>3.136048951189145</v>
      </c>
      <c r="K649">
        <v>0</v>
      </c>
      <c r="L649">
        <v>0</v>
      </c>
      <c r="M649">
        <v>3.136048951189145</v>
      </c>
      <c r="N649">
        <v>0</v>
      </c>
    </row>
    <row r="650" spans="9:14" x14ac:dyDescent="0.3">
      <c r="I650">
        <v>647</v>
      </c>
      <c r="J650">
        <v>2.714390787992941</v>
      </c>
      <c r="K650">
        <v>0</v>
      </c>
      <c r="L650">
        <v>0</v>
      </c>
      <c r="M650">
        <v>2.714390787992941</v>
      </c>
      <c r="N650">
        <v>1</v>
      </c>
    </row>
    <row r="651" spans="9:14" x14ac:dyDescent="0.3">
      <c r="I651">
        <v>648</v>
      </c>
      <c r="J651">
        <v>2.7351616937240819</v>
      </c>
      <c r="K651">
        <v>0</v>
      </c>
      <c r="L651">
        <v>0</v>
      </c>
      <c r="M651">
        <v>2.7351616937240819</v>
      </c>
      <c r="N651">
        <v>1</v>
      </c>
    </row>
    <row r="652" spans="9:14" x14ac:dyDescent="0.3">
      <c r="I652">
        <v>649</v>
      </c>
      <c r="J652">
        <v>2.8052308708691869</v>
      </c>
      <c r="K652">
        <v>1</v>
      </c>
      <c r="L652">
        <v>1.5456168377716699</v>
      </c>
      <c r="M652">
        <v>4.3508477086408579</v>
      </c>
      <c r="N652">
        <v>0</v>
      </c>
    </row>
    <row r="653" spans="9:14" x14ac:dyDescent="0.3">
      <c r="I653">
        <v>650</v>
      </c>
      <c r="J653">
        <v>3.2934085176900858</v>
      </c>
      <c r="K653">
        <v>0</v>
      </c>
      <c r="L653">
        <v>0</v>
      </c>
      <c r="M653">
        <v>3.2934085176900858</v>
      </c>
      <c r="N653">
        <v>0</v>
      </c>
    </row>
    <row r="654" spans="9:14" x14ac:dyDescent="0.3">
      <c r="I654">
        <v>651</v>
      </c>
      <c r="J654">
        <v>2.9826351357708911</v>
      </c>
      <c r="K654">
        <v>0</v>
      </c>
      <c r="L654">
        <v>0</v>
      </c>
      <c r="M654">
        <v>2.9826351357708911</v>
      </c>
      <c r="N654">
        <v>1</v>
      </c>
    </row>
    <row r="655" spans="9:14" x14ac:dyDescent="0.3">
      <c r="I655">
        <v>652</v>
      </c>
      <c r="J655">
        <v>3.3647512575953189</v>
      </c>
      <c r="K655">
        <v>0</v>
      </c>
      <c r="L655">
        <v>0</v>
      </c>
      <c r="M655">
        <v>3.3647512575953189</v>
      </c>
      <c r="N655">
        <v>0</v>
      </c>
    </row>
    <row r="656" spans="9:14" x14ac:dyDescent="0.3">
      <c r="I656">
        <v>653</v>
      </c>
      <c r="J656">
        <v>3.417306899520852</v>
      </c>
      <c r="K656">
        <v>0</v>
      </c>
      <c r="L656">
        <v>0</v>
      </c>
      <c r="M656">
        <v>3.417306899520852</v>
      </c>
      <c r="N656">
        <v>0</v>
      </c>
    </row>
    <row r="657" spans="9:14" x14ac:dyDescent="0.3">
      <c r="I657">
        <v>654</v>
      </c>
      <c r="J657">
        <v>3.0952679963993082</v>
      </c>
      <c r="K657">
        <v>1</v>
      </c>
      <c r="L657">
        <v>1.946316132057047</v>
      </c>
      <c r="M657">
        <v>5.0415841284563552</v>
      </c>
      <c r="N657">
        <v>0</v>
      </c>
    </row>
    <row r="658" spans="9:14" x14ac:dyDescent="0.3">
      <c r="I658">
        <v>655</v>
      </c>
      <c r="J658">
        <v>2.613556390573843</v>
      </c>
      <c r="K658">
        <v>0</v>
      </c>
      <c r="L658">
        <v>0</v>
      </c>
      <c r="M658">
        <v>2.613556390573843</v>
      </c>
      <c r="N658">
        <v>1</v>
      </c>
    </row>
    <row r="659" spans="9:14" x14ac:dyDescent="0.3">
      <c r="I659">
        <v>656</v>
      </c>
      <c r="J659">
        <v>2.6088480332881581</v>
      </c>
      <c r="K659">
        <v>1</v>
      </c>
      <c r="L659">
        <v>1.575353414039304</v>
      </c>
      <c r="M659">
        <v>4.184201447327462</v>
      </c>
      <c r="N659">
        <v>0</v>
      </c>
    </row>
    <row r="660" spans="9:14" x14ac:dyDescent="0.3">
      <c r="I660">
        <v>657</v>
      </c>
      <c r="J660">
        <v>2.4284062673490028</v>
      </c>
      <c r="K660">
        <v>0</v>
      </c>
      <c r="L660">
        <v>0</v>
      </c>
      <c r="M660">
        <v>2.4284062673490028</v>
      </c>
      <c r="N660">
        <v>1</v>
      </c>
    </row>
    <row r="661" spans="9:14" x14ac:dyDescent="0.3">
      <c r="I661">
        <v>658</v>
      </c>
      <c r="J661">
        <v>2.9158566446432128</v>
      </c>
      <c r="K661">
        <v>0</v>
      </c>
      <c r="L661">
        <v>0</v>
      </c>
      <c r="M661">
        <v>2.9158566446432128</v>
      </c>
      <c r="N661">
        <v>1</v>
      </c>
    </row>
    <row r="662" spans="9:14" x14ac:dyDescent="0.3">
      <c r="I662">
        <v>659</v>
      </c>
      <c r="J662">
        <v>2.8794685728505018</v>
      </c>
      <c r="K662">
        <v>0</v>
      </c>
      <c r="L662">
        <v>0</v>
      </c>
      <c r="M662">
        <v>2.8794685728505018</v>
      </c>
      <c r="N662">
        <v>1</v>
      </c>
    </row>
    <row r="663" spans="9:14" x14ac:dyDescent="0.3">
      <c r="I663">
        <v>660</v>
      </c>
      <c r="J663">
        <v>2.654191355531542</v>
      </c>
      <c r="K663">
        <v>0</v>
      </c>
      <c r="L663">
        <v>0</v>
      </c>
      <c r="M663">
        <v>2.654191355531542</v>
      </c>
      <c r="N663">
        <v>1</v>
      </c>
    </row>
    <row r="664" spans="9:14" x14ac:dyDescent="0.3">
      <c r="I664">
        <v>661</v>
      </c>
      <c r="J664">
        <v>3.142854946524634</v>
      </c>
      <c r="K664">
        <v>0</v>
      </c>
      <c r="L664">
        <v>0</v>
      </c>
      <c r="M664">
        <v>3.142854946524634</v>
      </c>
      <c r="N664">
        <v>0</v>
      </c>
    </row>
    <row r="665" spans="9:14" x14ac:dyDescent="0.3">
      <c r="I665">
        <v>662</v>
      </c>
      <c r="J665">
        <v>3.37005494095833</v>
      </c>
      <c r="K665">
        <v>0</v>
      </c>
      <c r="L665">
        <v>0</v>
      </c>
      <c r="M665">
        <v>3.37005494095833</v>
      </c>
      <c r="N665">
        <v>0</v>
      </c>
    </row>
    <row r="666" spans="9:14" x14ac:dyDescent="0.3">
      <c r="I666">
        <v>663</v>
      </c>
      <c r="J666">
        <v>3.4369220260742419</v>
      </c>
      <c r="K666">
        <v>0</v>
      </c>
      <c r="L666">
        <v>0</v>
      </c>
      <c r="M666">
        <v>3.4369220260742419</v>
      </c>
      <c r="N666">
        <v>0</v>
      </c>
    </row>
    <row r="667" spans="9:14" x14ac:dyDescent="0.3">
      <c r="I667">
        <v>664</v>
      </c>
      <c r="J667">
        <v>2.643816208469667</v>
      </c>
      <c r="K667">
        <v>0</v>
      </c>
      <c r="L667">
        <v>0</v>
      </c>
      <c r="M667">
        <v>2.643816208469667</v>
      </c>
      <c r="N667">
        <v>1</v>
      </c>
    </row>
    <row r="668" spans="9:14" x14ac:dyDescent="0.3">
      <c r="I668">
        <v>665</v>
      </c>
      <c r="J668">
        <v>3.4089256588171919</v>
      </c>
      <c r="K668">
        <v>1</v>
      </c>
      <c r="L668">
        <v>1.9015118663545489</v>
      </c>
      <c r="M668">
        <v>5.3104375251717411</v>
      </c>
      <c r="N668">
        <v>0</v>
      </c>
    </row>
    <row r="669" spans="9:14" x14ac:dyDescent="0.3">
      <c r="I669">
        <v>666</v>
      </c>
      <c r="J669">
        <v>2.7544418344226611</v>
      </c>
      <c r="K669">
        <v>0</v>
      </c>
      <c r="L669">
        <v>0</v>
      </c>
      <c r="M669">
        <v>2.7544418344226611</v>
      </c>
      <c r="N669">
        <v>1</v>
      </c>
    </row>
    <row r="670" spans="9:14" x14ac:dyDescent="0.3">
      <c r="I670">
        <v>667</v>
      </c>
      <c r="J670">
        <v>2.9228158391213341</v>
      </c>
      <c r="K670">
        <v>1</v>
      </c>
      <c r="L670">
        <v>1.1342824288342011</v>
      </c>
      <c r="M670">
        <v>4.057098267955535</v>
      </c>
      <c r="N670">
        <v>0</v>
      </c>
    </row>
    <row r="671" spans="9:14" x14ac:dyDescent="0.3">
      <c r="I671">
        <v>668</v>
      </c>
      <c r="J671">
        <v>2.5682222708077909</v>
      </c>
      <c r="K671">
        <v>0</v>
      </c>
      <c r="L671">
        <v>0</v>
      </c>
      <c r="M671">
        <v>2.5682222708077909</v>
      </c>
      <c r="N671">
        <v>1</v>
      </c>
    </row>
    <row r="672" spans="9:14" x14ac:dyDescent="0.3">
      <c r="I672">
        <v>669</v>
      </c>
      <c r="J672">
        <v>3.2300357493821532</v>
      </c>
      <c r="K672">
        <v>0</v>
      </c>
      <c r="L672">
        <v>0</v>
      </c>
      <c r="M672">
        <v>3.2300357493821532</v>
      </c>
      <c r="N672">
        <v>0</v>
      </c>
    </row>
    <row r="673" spans="9:14" x14ac:dyDescent="0.3">
      <c r="I673">
        <v>670</v>
      </c>
      <c r="J673">
        <v>3.186477545397759</v>
      </c>
      <c r="K673">
        <v>0</v>
      </c>
      <c r="L673">
        <v>0</v>
      </c>
      <c r="M673">
        <v>3.186477545397759</v>
      </c>
      <c r="N673">
        <v>0</v>
      </c>
    </row>
    <row r="674" spans="9:14" x14ac:dyDescent="0.3">
      <c r="I674">
        <v>671</v>
      </c>
      <c r="J674">
        <v>2.8431676313693108</v>
      </c>
      <c r="K674">
        <v>0</v>
      </c>
      <c r="L674">
        <v>0</v>
      </c>
      <c r="M674">
        <v>2.8431676313693108</v>
      </c>
      <c r="N674">
        <v>1</v>
      </c>
    </row>
    <row r="675" spans="9:14" x14ac:dyDescent="0.3">
      <c r="I675">
        <v>672</v>
      </c>
      <c r="J675">
        <v>2.7294305592746988</v>
      </c>
      <c r="K675">
        <v>1</v>
      </c>
      <c r="L675">
        <v>1.9885325503491109</v>
      </c>
      <c r="M675">
        <v>4.7179631096238097</v>
      </c>
      <c r="N675">
        <v>0</v>
      </c>
    </row>
    <row r="676" spans="9:14" x14ac:dyDescent="0.3">
      <c r="I676">
        <v>673</v>
      </c>
      <c r="J676">
        <v>3.4125271252050982</v>
      </c>
      <c r="K676">
        <v>0</v>
      </c>
      <c r="L676">
        <v>0</v>
      </c>
      <c r="M676">
        <v>3.4125271252050982</v>
      </c>
      <c r="N676">
        <v>0</v>
      </c>
    </row>
    <row r="677" spans="9:14" x14ac:dyDescent="0.3">
      <c r="I677">
        <v>674</v>
      </c>
      <c r="J677">
        <v>2.4432915809213398</v>
      </c>
      <c r="K677">
        <v>0</v>
      </c>
      <c r="L677">
        <v>0</v>
      </c>
      <c r="M677">
        <v>2.4432915809213398</v>
      </c>
      <c r="N677">
        <v>1</v>
      </c>
    </row>
    <row r="678" spans="9:14" x14ac:dyDescent="0.3">
      <c r="I678">
        <v>675</v>
      </c>
      <c r="J678">
        <v>2.6234831869267832</v>
      </c>
      <c r="K678">
        <v>0</v>
      </c>
      <c r="L678">
        <v>0</v>
      </c>
      <c r="M678">
        <v>2.6234831869267832</v>
      </c>
      <c r="N678">
        <v>1</v>
      </c>
    </row>
    <row r="679" spans="9:14" x14ac:dyDescent="0.3">
      <c r="I679">
        <v>676</v>
      </c>
      <c r="J679">
        <v>3.150736416139901</v>
      </c>
      <c r="K679">
        <v>0</v>
      </c>
      <c r="L679">
        <v>0</v>
      </c>
      <c r="M679">
        <v>3.150736416139901</v>
      </c>
      <c r="N679">
        <v>0</v>
      </c>
    </row>
    <row r="680" spans="9:14" x14ac:dyDescent="0.3">
      <c r="I680">
        <v>677</v>
      </c>
      <c r="J680">
        <v>3.2306989225546099</v>
      </c>
      <c r="K680">
        <v>0</v>
      </c>
      <c r="L680">
        <v>0</v>
      </c>
      <c r="M680">
        <v>3.2306989225546099</v>
      </c>
      <c r="N680">
        <v>0</v>
      </c>
    </row>
    <row r="681" spans="9:14" x14ac:dyDescent="0.3">
      <c r="I681">
        <v>678</v>
      </c>
      <c r="J681">
        <v>3.1983361837141149</v>
      </c>
      <c r="K681">
        <v>0</v>
      </c>
      <c r="L681">
        <v>0</v>
      </c>
      <c r="M681">
        <v>3.1983361837141149</v>
      </c>
      <c r="N681">
        <v>0</v>
      </c>
    </row>
    <row r="682" spans="9:14" x14ac:dyDescent="0.3">
      <c r="I682">
        <v>679</v>
      </c>
      <c r="J682">
        <v>3.1084229851769201</v>
      </c>
      <c r="K682">
        <v>0</v>
      </c>
      <c r="L682">
        <v>0</v>
      </c>
      <c r="M682">
        <v>3.1084229851769201</v>
      </c>
      <c r="N682">
        <v>0</v>
      </c>
    </row>
    <row r="683" spans="9:14" x14ac:dyDescent="0.3">
      <c r="I683">
        <v>680</v>
      </c>
      <c r="J683">
        <v>2.690703381455029</v>
      </c>
      <c r="K683">
        <v>0</v>
      </c>
      <c r="L683">
        <v>0</v>
      </c>
      <c r="M683">
        <v>2.690703381455029</v>
      </c>
      <c r="N683">
        <v>1</v>
      </c>
    </row>
    <row r="684" spans="9:14" x14ac:dyDescent="0.3">
      <c r="I684">
        <v>681</v>
      </c>
      <c r="J684">
        <v>2.937864968601942</v>
      </c>
      <c r="K684">
        <v>0</v>
      </c>
      <c r="L684">
        <v>0</v>
      </c>
      <c r="M684">
        <v>2.937864968601942</v>
      </c>
      <c r="N684">
        <v>1</v>
      </c>
    </row>
    <row r="685" spans="9:14" x14ac:dyDescent="0.3">
      <c r="I685">
        <v>682</v>
      </c>
      <c r="J685">
        <v>2.818504507144739</v>
      </c>
      <c r="K685">
        <v>0</v>
      </c>
      <c r="L685">
        <v>0</v>
      </c>
      <c r="M685">
        <v>2.818504507144739</v>
      </c>
      <c r="N685">
        <v>1</v>
      </c>
    </row>
    <row r="686" spans="9:14" x14ac:dyDescent="0.3">
      <c r="I686">
        <v>683</v>
      </c>
      <c r="J686">
        <v>3.39995624294012</v>
      </c>
      <c r="K686">
        <v>1</v>
      </c>
      <c r="L686">
        <v>1.670876175964161</v>
      </c>
      <c r="M686">
        <v>5.0708324189042813</v>
      </c>
      <c r="N686">
        <v>0</v>
      </c>
    </row>
    <row r="687" spans="9:14" x14ac:dyDescent="0.3">
      <c r="I687">
        <v>684</v>
      </c>
      <c r="J687">
        <v>3.3075256955552819</v>
      </c>
      <c r="K687">
        <v>0</v>
      </c>
      <c r="L687">
        <v>0</v>
      </c>
      <c r="M687">
        <v>3.3075256955552819</v>
      </c>
      <c r="N687">
        <v>0</v>
      </c>
    </row>
    <row r="688" spans="9:14" x14ac:dyDescent="0.3">
      <c r="I688">
        <v>685</v>
      </c>
      <c r="J688">
        <v>2.8218149641534058</v>
      </c>
      <c r="K688">
        <v>0</v>
      </c>
      <c r="L688">
        <v>0</v>
      </c>
      <c r="M688">
        <v>2.8218149641534058</v>
      </c>
      <c r="N688">
        <v>1</v>
      </c>
    </row>
    <row r="689" spans="9:14" x14ac:dyDescent="0.3">
      <c r="I689">
        <v>686</v>
      </c>
      <c r="J689">
        <v>3.7918705889875191</v>
      </c>
      <c r="K689">
        <v>0</v>
      </c>
      <c r="L689">
        <v>0</v>
      </c>
      <c r="M689">
        <v>3.7918705889875191</v>
      </c>
      <c r="N689">
        <v>0</v>
      </c>
    </row>
    <row r="690" spans="9:14" x14ac:dyDescent="0.3">
      <c r="I690">
        <v>687</v>
      </c>
      <c r="J690">
        <v>3.3941140232451859</v>
      </c>
      <c r="K690">
        <v>0</v>
      </c>
      <c r="L690">
        <v>0</v>
      </c>
      <c r="M690">
        <v>3.3941140232451859</v>
      </c>
      <c r="N690">
        <v>0</v>
      </c>
    </row>
    <row r="691" spans="9:14" x14ac:dyDescent="0.3">
      <c r="I691">
        <v>688</v>
      </c>
      <c r="J691">
        <v>3.5173787110238468</v>
      </c>
      <c r="K691">
        <v>0</v>
      </c>
      <c r="L691">
        <v>0</v>
      </c>
      <c r="M691">
        <v>3.5173787110238468</v>
      </c>
      <c r="N691">
        <v>0</v>
      </c>
    </row>
    <row r="692" spans="9:14" x14ac:dyDescent="0.3">
      <c r="I692">
        <v>689</v>
      </c>
      <c r="J692">
        <v>2.5891244822051589</v>
      </c>
      <c r="K692">
        <v>0</v>
      </c>
      <c r="L692">
        <v>0</v>
      </c>
      <c r="M692">
        <v>2.5891244822051589</v>
      </c>
      <c r="N692">
        <v>1</v>
      </c>
    </row>
    <row r="693" spans="9:14" x14ac:dyDescent="0.3">
      <c r="I693">
        <v>690</v>
      </c>
      <c r="J693">
        <v>2.982910734492771</v>
      </c>
      <c r="K693">
        <v>0</v>
      </c>
      <c r="L693">
        <v>0</v>
      </c>
      <c r="M693">
        <v>2.982910734492771</v>
      </c>
      <c r="N693">
        <v>1</v>
      </c>
    </row>
    <row r="694" spans="9:14" x14ac:dyDescent="0.3">
      <c r="I694">
        <v>691</v>
      </c>
      <c r="J694">
        <v>3.3743978043436882</v>
      </c>
      <c r="K694">
        <v>0</v>
      </c>
      <c r="L694">
        <v>0</v>
      </c>
      <c r="M694">
        <v>3.3743978043436882</v>
      </c>
      <c r="N694">
        <v>0</v>
      </c>
    </row>
    <row r="695" spans="9:14" x14ac:dyDescent="0.3">
      <c r="I695">
        <v>692</v>
      </c>
      <c r="J695">
        <v>3.8378169572244851</v>
      </c>
      <c r="K695">
        <v>0</v>
      </c>
      <c r="L695">
        <v>0</v>
      </c>
      <c r="M695">
        <v>3.8378169572244851</v>
      </c>
      <c r="N695">
        <v>0</v>
      </c>
    </row>
    <row r="696" spans="9:14" x14ac:dyDescent="0.3">
      <c r="I696">
        <v>693</v>
      </c>
      <c r="J696">
        <v>3.511882112652907</v>
      </c>
      <c r="K696">
        <v>1</v>
      </c>
      <c r="L696">
        <v>1.4016798326010551</v>
      </c>
      <c r="M696">
        <v>4.9135619452539618</v>
      </c>
      <c r="N696">
        <v>0</v>
      </c>
    </row>
    <row r="697" spans="9:14" x14ac:dyDescent="0.3">
      <c r="I697">
        <v>694</v>
      </c>
      <c r="J697">
        <v>2.857146242306106</v>
      </c>
      <c r="K697">
        <v>0</v>
      </c>
      <c r="L697">
        <v>0</v>
      </c>
      <c r="M697">
        <v>2.857146242306106</v>
      </c>
      <c r="N697">
        <v>1</v>
      </c>
    </row>
    <row r="698" spans="9:14" x14ac:dyDescent="0.3">
      <c r="I698">
        <v>695</v>
      </c>
      <c r="J698">
        <v>2.9999553274736899</v>
      </c>
      <c r="K698">
        <v>0</v>
      </c>
      <c r="L698">
        <v>0</v>
      </c>
      <c r="M698">
        <v>2.9999553274736899</v>
      </c>
      <c r="N698">
        <v>1</v>
      </c>
    </row>
    <row r="699" spans="9:14" x14ac:dyDescent="0.3">
      <c r="I699">
        <v>696</v>
      </c>
      <c r="J699">
        <v>2.7208516328980061</v>
      </c>
      <c r="K699">
        <v>0</v>
      </c>
      <c r="L699">
        <v>0</v>
      </c>
      <c r="M699">
        <v>2.7208516328980061</v>
      </c>
      <c r="N699">
        <v>1</v>
      </c>
    </row>
    <row r="700" spans="9:14" x14ac:dyDescent="0.3">
      <c r="I700">
        <v>697</v>
      </c>
      <c r="J700">
        <v>3.021898227664098</v>
      </c>
      <c r="K700">
        <v>0</v>
      </c>
      <c r="L700">
        <v>0</v>
      </c>
      <c r="M700">
        <v>3.021898227664098</v>
      </c>
      <c r="N700">
        <v>0</v>
      </c>
    </row>
    <row r="701" spans="9:14" x14ac:dyDescent="0.3">
      <c r="I701">
        <v>698</v>
      </c>
      <c r="J701">
        <v>3.3992576240197918</v>
      </c>
      <c r="K701">
        <v>0</v>
      </c>
      <c r="L701">
        <v>0</v>
      </c>
      <c r="M701">
        <v>3.3992576240197918</v>
      </c>
      <c r="N701">
        <v>0</v>
      </c>
    </row>
    <row r="702" spans="9:14" x14ac:dyDescent="0.3">
      <c r="I702">
        <v>699</v>
      </c>
      <c r="J702">
        <v>3.2651213827004879</v>
      </c>
      <c r="K702">
        <v>0</v>
      </c>
      <c r="L702">
        <v>0</v>
      </c>
      <c r="M702">
        <v>3.2651213827004879</v>
      </c>
      <c r="N702">
        <v>0</v>
      </c>
    </row>
    <row r="703" spans="9:14" x14ac:dyDescent="0.3">
      <c r="I703">
        <v>700</v>
      </c>
      <c r="J703">
        <v>3.5660116768106991</v>
      </c>
      <c r="K703">
        <v>0</v>
      </c>
      <c r="L703">
        <v>0</v>
      </c>
      <c r="M703">
        <v>3.5660116768106991</v>
      </c>
      <c r="N703">
        <v>0</v>
      </c>
    </row>
    <row r="704" spans="9:14" x14ac:dyDescent="0.3">
      <c r="I704">
        <v>701</v>
      </c>
      <c r="J704">
        <v>3.728878070493169</v>
      </c>
      <c r="K704">
        <v>0</v>
      </c>
      <c r="L704">
        <v>0</v>
      </c>
      <c r="M704">
        <v>3.728878070493169</v>
      </c>
      <c r="N704">
        <v>0</v>
      </c>
    </row>
    <row r="705" spans="9:14" x14ac:dyDescent="0.3">
      <c r="I705">
        <v>702</v>
      </c>
      <c r="J705">
        <v>3.2234431264113801</v>
      </c>
      <c r="K705">
        <v>0</v>
      </c>
      <c r="L705">
        <v>0</v>
      </c>
      <c r="M705">
        <v>3.2234431264113801</v>
      </c>
      <c r="N705">
        <v>0</v>
      </c>
    </row>
    <row r="706" spans="9:14" x14ac:dyDescent="0.3">
      <c r="I706">
        <v>703</v>
      </c>
      <c r="J706">
        <v>3.196617179238094</v>
      </c>
      <c r="K706">
        <v>0</v>
      </c>
      <c r="L706">
        <v>0</v>
      </c>
      <c r="M706">
        <v>3.196617179238094</v>
      </c>
      <c r="N706">
        <v>0</v>
      </c>
    </row>
    <row r="707" spans="9:14" x14ac:dyDescent="0.3">
      <c r="I707">
        <v>704</v>
      </c>
      <c r="J707">
        <v>2.8743274665652478</v>
      </c>
      <c r="K707">
        <v>1</v>
      </c>
      <c r="L707">
        <v>1.0385064590877779</v>
      </c>
      <c r="M707">
        <v>3.9128339256530271</v>
      </c>
      <c r="N707">
        <v>0</v>
      </c>
    </row>
    <row r="708" spans="9:14" x14ac:dyDescent="0.3">
      <c r="I708">
        <v>705</v>
      </c>
      <c r="J708">
        <v>3.3440520023975191</v>
      </c>
      <c r="K708">
        <v>0</v>
      </c>
      <c r="L708">
        <v>0</v>
      </c>
      <c r="M708">
        <v>3.3440520023975191</v>
      </c>
      <c r="N708">
        <v>0</v>
      </c>
    </row>
    <row r="709" spans="9:14" x14ac:dyDescent="0.3">
      <c r="I709">
        <v>706</v>
      </c>
      <c r="J709">
        <v>2.9570532870808681</v>
      </c>
      <c r="K709">
        <v>1</v>
      </c>
      <c r="L709">
        <v>1.8720955908619981</v>
      </c>
      <c r="M709">
        <v>4.829148877942866</v>
      </c>
      <c r="N709">
        <v>0</v>
      </c>
    </row>
    <row r="710" spans="9:14" x14ac:dyDescent="0.3">
      <c r="I710">
        <v>707</v>
      </c>
      <c r="J710">
        <v>2.4948290047959691</v>
      </c>
      <c r="K710">
        <v>0</v>
      </c>
      <c r="L710">
        <v>0</v>
      </c>
      <c r="M710">
        <v>2.4948290047959691</v>
      </c>
      <c r="N710">
        <v>1</v>
      </c>
    </row>
    <row r="711" spans="9:14" x14ac:dyDescent="0.3">
      <c r="I711">
        <v>708</v>
      </c>
      <c r="J711">
        <v>2.0765140377088058</v>
      </c>
      <c r="K711">
        <v>0</v>
      </c>
      <c r="L711">
        <v>0</v>
      </c>
      <c r="M711">
        <v>2.0765140377088058</v>
      </c>
      <c r="N711">
        <v>1</v>
      </c>
    </row>
    <row r="712" spans="9:14" x14ac:dyDescent="0.3">
      <c r="I712">
        <v>709</v>
      </c>
      <c r="J712">
        <v>3.0547732601652129</v>
      </c>
      <c r="K712">
        <v>0</v>
      </c>
      <c r="L712">
        <v>0</v>
      </c>
      <c r="M712">
        <v>3.0547732601652129</v>
      </c>
      <c r="N712">
        <v>0</v>
      </c>
    </row>
    <row r="713" spans="9:14" x14ac:dyDescent="0.3">
      <c r="I713">
        <v>710</v>
      </c>
      <c r="J713">
        <v>3.1201239453029581</v>
      </c>
      <c r="K713">
        <v>0</v>
      </c>
      <c r="L713">
        <v>0</v>
      </c>
      <c r="M713">
        <v>3.1201239453029581</v>
      </c>
      <c r="N713">
        <v>0</v>
      </c>
    </row>
    <row r="714" spans="9:14" x14ac:dyDescent="0.3">
      <c r="I714">
        <v>711</v>
      </c>
      <c r="J714">
        <v>3.1805607439841448</v>
      </c>
      <c r="K714">
        <v>0</v>
      </c>
      <c r="L714">
        <v>0</v>
      </c>
      <c r="M714">
        <v>3.1805607439841448</v>
      </c>
      <c r="N714">
        <v>0</v>
      </c>
    </row>
    <row r="715" spans="9:14" x14ac:dyDescent="0.3">
      <c r="I715">
        <v>712</v>
      </c>
      <c r="J715">
        <v>2.7403673604211698</v>
      </c>
      <c r="K715">
        <v>0</v>
      </c>
      <c r="L715">
        <v>0</v>
      </c>
      <c r="M715">
        <v>2.7403673604211698</v>
      </c>
      <c r="N715">
        <v>1</v>
      </c>
    </row>
    <row r="716" spans="9:14" x14ac:dyDescent="0.3">
      <c r="I716">
        <v>713</v>
      </c>
      <c r="J716">
        <v>3.5988973732582932</v>
      </c>
      <c r="K716">
        <v>0</v>
      </c>
      <c r="L716">
        <v>0</v>
      </c>
      <c r="M716">
        <v>3.5988973732582932</v>
      </c>
      <c r="N716">
        <v>0</v>
      </c>
    </row>
    <row r="717" spans="9:14" x14ac:dyDescent="0.3">
      <c r="I717">
        <v>714</v>
      </c>
      <c r="J717">
        <v>3.1512913897661021</v>
      </c>
      <c r="K717">
        <v>0</v>
      </c>
      <c r="L717">
        <v>0</v>
      </c>
      <c r="M717">
        <v>3.1512913897661021</v>
      </c>
      <c r="N717">
        <v>0</v>
      </c>
    </row>
    <row r="718" spans="9:14" x14ac:dyDescent="0.3">
      <c r="I718">
        <v>715</v>
      </c>
      <c r="J718">
        <v>2.8351178156839838</v>
      </c>
      <c r="K718">
        <v>0</v>
      </c>
      <c r="L718">
        <v>0</v>
      </c>
      <c r="M718">
        <v>2.8351178156839838</v>
      </c>
      <c r="N718">
        <v>1</v>
      </c>
    </row>
    <row r="719" spans="9:14" x14ac:dyDescent="0.3">
      <c r="I719">
        <v>716</v>
      </c>
      <c r="J719">
        <v>3.0873757091270129</v>
      </c>
      <c r="K719">
        <v>1</v>
      </c>
      <c r="L719">
        <v>1.597155323224019</v>
      </c>
      <c r="M719">
        <v>4.6845310323510319</v>
      </c>
      <c r="N719">
        <v>0</v>
      </c>
    </row>
    <row r="720" spans="9:14" x14ac:dyDescent="0.3">
      <c r="I720">
        <v>717</v>
      </c>
      <c r="J720">
        <v>2.7710231452492531</v>
      </c>
      <c r="K720">
        <v>0</v>
      </c>
      <c r="L720">
        <v>0</v>
      </c>
      <c r="M720">
        <v>2.7710231452492531</v>
      </c>
      <c r="N720">
        <v>1</v>
      </c>
    </row>
    <row r="721" spans="9:14" x14ac:dyDescent="0.3">
      <c r="I721">
        <v>718</v>
      </c>
      <c r="J721">
        <v>3.4213476629190951</v>
      </c>
      <c r="K721">
        <v>0</v>
      </c>
      <c r="L721">
        <v>0</v>
      </c>
      <c r="M721">
        <v>3.4213476629190951</v>
      </c>
      <c r="N721">
        <v>0</v>
      </c>
    </row>
    <row r="722" spans="9:14" x14ac:dyDescent="0.3">
      <c r="I722">
        <v>719</v>
      </c>
      <c r="J722">
        <v>3.2347905062614299</v>
      </c>
      <c r="K722">
        <v>0</v>
      </c>
      <c r="L722">
        <v>0</v>
      </c>
      <c r="M722">
        <v>3.2347905062614299</v>
      </c>
      <c r="N722">
        <v>0</v>
      </c>
    </row>
    <row r="723" spans="9:14" x14ac:dyDescent="0.3">
      <c r="I723">
        <v>720</v>
      </c>
      <c r="J723">
        <v>2.7681538429044692</v>
      </c>
      <c r="K723">
        <v>0</v>
      </c>
      <c r="L723">
        <v>0</v>
      </c>
      <c r="M723">
        <v>2.7681538429044692</v>
      </c>
      <c r="N723">
        <v>1</v>
      </c>
    </row>
    <row r="724" spans="9:14" x14ac:dyDescent="0.3">
      <c r="I724">
        <v>721</v>
      </c>
      <c r="J724">
        <v>3.3341396164294901</v>
      </c>
      <c r="K724">
        <v>0</v>
      </c>
      <c r="L724">
        <v>0</v>
      </c>
      <c r="M724">
        <v>3.3341396164294901</v>
      </c>
      <c r="N724">
        <v>0</v>
      </c>
    </row>
    <row r="725" spans="9:14" x14ac:dyDescent="0.3">
      <c r="I725">
        <v>722</v>
      </c>
      <c r="J725">
        <v>3.1821652146748081</v>
      </c>
      <c r="K725">
        <v>0</v>
      </c>
      <c r="L725">
        <v>0</v>
      </c>
      <c r="M725">
        <v>3.1821652146748081</v>
      </c>
      <c r="N725">
        <v>0</v>
      </c>
    </row>
    <row r="726" spans="9:14" x14ac:dyDescent="0.3">
      <c r="I726">
        <v>723</v>
      </c>
      <c r="J726">
        <v>2.2355715469196991</v>
      </c>
      <c r="K726">
        <v>0</v>
      </c>
      <c r="L726">
        <v>0</v>
      </c>
      <c r="M726">
        <v>2.2355715469196991</v>
      </c>
      <c r="N726">
        <v>1</v>
      </c>
    </row>
    <row r="727" spans="9:14" x14ac:dyDescent="0.3">
      <c r="I727">
        <v>724</v>
      </c>
      <c r="J727">
        <v>2.5499302030388189</v>
      </c>
      <c r="K727">
        <v>0</v>
      </c>
      <c r="L727">
        <v>0</v>
      </c>
      <c r="M727">
        <v>2.5499302030388189</v>
      </c>
      <c r="N727">
        <v>1</v>
      </c>
    </row>
    <row r="728" spans="9:14" x14ac:dyDescent="0.3">
      <c r="I728">
        <v>725</v>
      </c>
      <c r="J728">
        <v>2.6823495225987419</v>
      </c>
      <c r="K728">
        <v>0</v>
      </c>
      <c r="L728">
        <v>0</v>
      </c>
      <c r="M728">
        <v>2.6823495225987419</v>
      </c>
      <c r="N728">
        <v>1</v>
      </c>
    </row>
    <row r="729" spans="9:14" x14ac:dyDescent="0.3">
      <c r="I729">
        <v>726</v>
      </c>
      <c r="J729">
        <v>2.8519654026320511</v>
      </c>
      <c r="K729">
        <v>0</v>
      </c>
      <c r="L729">
        <v>0</v>
      </c>
      <c r="M729">
        <v>2.8519654026320511</v>
      </c>
      <c r="N729">
        <v>1</v>
      </c>
    </row>
    <row r="730" spans="9:14" x14ac:dyDescent="0.3">
      <c r="I730">
        <v>727</v>
      </c>
      <c r="J730">
        <v>3.081579538559144</v>
      </c>
      <c r="K730">
        <v>0</v>
      </c>
      <c r="L730">
        <v>0</v>
      </c>
      <c r="M730">
        <v>3.081579538559144</v>
      </c>
      <c r="N730">
        <v>0</v>
      </c>
    </row>
    <row r="731" spans="9:14" x14ac:dyDescent="0.3">
      <c r="I731">
        <v>728</v>
      </c>
      <c r="J731">
        <v>2.821017480949088</v>
      </c>
      <c r="K731">
        <v>0</v>
      </c>
      <c r="L731">
        <v>0</v>
      </c>
      <c r="M731">
        <v>2.821017480949088</v>
      </c>
      <c r="N731">
        <v>1</v>
      </c>
    </row>
    <row r="732" spans="9:14" x14ac:dyDescent="0.3">
      <c r="I732">
        <v>729</v>
      </c>
      <c r="J732">
        <v>3.7586700184345658</v>
      </c>
      <c r="K732">
        <v>0</v>
      </c>
      <c r="L732">
        <v>0</v>
      </c>
      <c r="M732">
        <v>3.7586700184345658</v>
      </c>
      <c r="N732">
        <v>0</v>
      </c>
    </row>
    <row r="733" spans="9:14" x14ac:dyDescent="0.3">
      <c r="I733">
        <v>730</v>
      </c>
      <c r="J733">
        <v>3.535496866110694</v>
      </c>
      <c r="K733">
        <v>0</v>
      </c>
      <c r="L733">
        <v>0</v>
      </c>
      <c r="M733">
        <v>3.535496866110694</v>
      </c>
      <c r="N733">
        <v>0</v>
      </c>
    </row>
    <row r="734" spans="9:14" x14ac:dyDescent="0.3">
      <c r="I734">
        <v>731</v>
      </c>
      <c r="J734">
        <v>2.7219485332580562</v>
      </c>
      <c r="K734">
        <v>0</v>
      </c>
      <c r="L734">
        <v>0</v>
      </c>
      <c r="M734">
        <v>2.7219485332580562</v>
      </c>
      <c r="N734">
        <v>1</v>
      </c>
    </row>
    <row r="735" spans="9:14" x14ac:dyDescent="0.3">
      <c r="I735">
        <v>732</v>
      </c>
      <c r="J735">
        <v>2.8640954320113319</v>
      </c>
      <c r="K735">
        <v>0</v>
      </c>
      <c r="L735">
        <v>0</v>
      </c>
      <c r="M735">
        <v>2.8640954320113319</v>
      </c>
      <c r="N735">
        <v>1</v>
      </c>
    </row>
    <row r="736" spans="9:14" x14ac:dyDescent="0.3">
      <c r="I736">
        <v>733</v>
      </c>
      <c r="J736">
        <v>3.0639077253047531</v>
      </c>
      <c r="K736">
        <v>0</v>
      </c>
      <c r="L736">
        <v>0</v>
      </c>
      <c r="M736">
        <v>3.0639077253047531</v>
      </c>
      <c r="N736">
        <v>0</v>
      </c>
    </row>
    <row r="737" spans="9:14" x14ac:dyDescent="0.3">
      <c r="I737">
        <v>734</v>
      </c>
      <c r="J737">
        <v>3.1774121187885642</v>
      </c>
      <c r="K737">
        <v>0</v>
      </c>
      <c r="L737">
        <v>0</v>
      </c>
      <c r="M737">
        <v>3.1774121187885642</v>
      </c>
      <c r="N737">
        <v>0</v>
      </c>
    </row>
    <row r="738" spans="9:14" x14ac:dyDescent="0.3">
      <c r="I738">
        <v>735</v>
      </c>
      <c r="J738">
        <v>3.2075821221082621</v>
      </c>
      <c r="K738">
        <v>1</v>
      </c>
      <c r="L738">
        <v>1.9975399601631409</v>
      </c>
      <c r="M738">
        <v>5.2051220822714033</v>
      </c>
      <c r="N738">
        <v>0</v>
      </c>
    </row>
    <row r="739" spans="9:14" x14ac:dyDescent="0.3">
      <c r="I739">
        <v>736</v>
      </c>
      <c r="J739">
        <v>3.475471132159305</v>
      </c>
      <c r="K739">
        <v>0</v>
      </c>
      <c r="L739">
        <v>0</v>
      </c>
      <c r="M739">
        <v>3.475471132159305</v>
      </c>
      <c r="N739">
        <v>0</v>
      </c>
    </row>
    <row r="740" spans="9:14" x14ac:dyDescent="0.3">
      <c r="I740">
        <v>737</v>
      </c>
      <c r="J740">
        <v>2.517913402300946</v>
      </c>
      <c r="K740">
        <v>0</v>
      </c>
      <c r="L740">
        <v>0</v>
      </c>
      <c r="M740">
        <v>2.517913402300946</v>
      </c>
      <c r="N740">
        <v>1</v>
      </c>
    </row>
    <row r="741" spans="9:14" x14ac:dyDescent="0.3">
      <c r="I741">
        <v>738</v>
      </c>
      <c r="J741">
        <v>3.3350969867299991</v>
      </c>
      <c r="K741">
        <v>0</v>
      </c>
      <c r="L741">
        <v>0</v>
      </c>
      <c r="M741">
        <v>3.3350969867299991</v>
      </c>
      <c r="N741">
        <v>0</v>
      </c>
    </row>
    <row r="742" spans="9:14" x14ac:dyDescent="0.3">
      <c r="I742">
        <v>739</v>
      </c>
      <c r="J742">
        <v>2.5171971245117142</v>
      </c>
      <c r="K742">
        <v>0</v>
      </c>
      <c r="L742">
        <v>0</v>
      </c>
      <c r="M742">
        <v>2.5171971245117142</v>
      </c>
      <c r="N742">
        <v>1</v>
      </c>
    </row>
    <row r="743" spans="9:14" x14ac:dyDescent="0.3">
      <c r="I743">
        <v>740</v>
      </c>
      <c r="J743">
        <v>2.7104850084046208</v>
      </c>
      <c r="K743">
        <v>0</v>
      </c>
      <c r="L743">
        <v>0</v>
      </c>
      <c r="M743">
        <v>2.7104850084046208</v>
      </c>
      <c r="N743">
        <v>1</v>
      </c>
    </row>
    <row r="744" spans="9:14" x14ac:dyDescent="0.3">
      <c r="I744">
        <v>741</v>
      </c>
      <c r="J744">
        <v>2.5552560150899728</v>
      </c>
      <c r="K744">
        <v>0</v>
      </c>
      <c r="L744">
        <v>0</v>
      </c>
      <c r="M744">
        <v>2.5552560150899728</v>
      </c>
      <c r="N744">
        <v>1</v>
      </c>
    </row>
    <row r="745" spans="9:14" x14ac:dyDescent="0.3">
      <c r="I745">
        <v>742</v>
      </c>
      <c r="J745">
        <v>3.0819056347772018</v>
      </c>
      <c r="K745">
        <v>0</v>
      </c>
      <c r="L745">
        <v>0</v>
      </c>
      <c r="M745">
        <v>3.0819056347772018</v>
      </c>
      <c r="N745">
        <v>0</v>
      </c>
    </row>
    <row r="746" spans="9:14" x14ac:dyDescent="0.3">
      <c r="I746">
        <v>743</v>
      </c>
      <c r="J746">
        <v>2.7938026552855479</v>
      </c>
      <c r="K746">
        <v>0</v>
      </c>
      <c r="L746">
        <v>0</v>
      </c>
      <c r="M746">
        <v>2.7938026552855479</v>
      </c>
      <c r="N746">
        <v>1</v>
      </c>
    </row>
    <row r="747" spans="9:14" x14ac:dyDescent="0.3">
      <c r="I747">
        <v>744</v>
      </c>
      <c r="J747">
        <v>3.471627941082243</v>
      </c>
      <c r="K747">
        <v>0</v>
      </c>
      <c r="L747">
        <v>0</v>
      </c>
      <c r="M747">
        <v>3.471627941082243</v>
      </c>
      <c r="N747">
        <v>0</v>
      </c>
    </row>
    <row r="748" spans="9:14" x14ac:dyDescent="0.3">
      <c r="I748">
        <v>745</v>
      </c>
      <c r="J748">
        <v>3.3502098184063982</v>
      </c>
      <c r="K748">
        <v>0</v>
      </c>
      <c r="L748">
        <v>0</v>
      </c>
      <c r="M748">
        <v>3.3502098184063982</v>
      </c>
      <c r="N748">
        <v>0</v>
      </c>
    </row>
    <row r="749" spans="9:14" x14ac:dyDescent="0.3">
      <c r="I749">
        <v>746</v>
      </c>
      <c r="J749">
        <v>2.853923089096948</v>
      </c>
      <c r="K749">
        <v>0</v>
      </c>
      <c r="L749">
        <v>0</v>
      </c>
      <c r="M749">
        <v>2.853923089096948</v>
      </c>
      <c r="N749">
        <v>1</v>
      </c>
    </row>
    <row r="750" spans="9:14" x14ac:dyDescent="0.3">
      <c r="I750">
        <v>747</v>
      </c>
      <c r="J750">
        <v>2.8192406796759908</v>
      </c>
      <c r="K750">
        <v>0</v>
      </c>
      <c r="L750">
        <v>0</v>
      </c>
      <c r="M750">
        <v>2.8192406796759908</v>
      </c>
      <c r="N750">
        <v>1</v>
      </c>
    </row>
    <row r="751" spans="9:14" x14ac:dyDescent="0.3">
      <c r="I751">
        <v>748</v>
      </c>
      <c r="J751">
        <v>2.6733174765350882</v>
      </c>
      <c r="K751">
        <v>0</v>
      </c>
      <c r="L751">
        <v>0</v>
      </c>
      <c r="M751">
        <v>2.6733174765350882</v>
      </c>
      <c r="N751">
        <v>1</v>
      </c>
    </row>
    <row r="752" spans="9:14" x14ac:dyDescent="0.3">
      <c r="I752">
        <v>749</v>
      </c>
      <c r="J752">
        <v>3.198447672026755</v>
      </c>
      <c r="K752">
        <v>0</v>
      </c>
      <c r="L752">
        <v>0</v>
      </c>
      <c r="M752">
        <v>3.198447672026755</v>
      </c>
      <c r="N752">
        <v>0</v>
      </c>
    </row>
    <row r="753" spans="9:14" x14ac:dyDescent="0.3">
      <c r="I753">
        <v>750</v>
      </c>
      <c r="J753">
        <v>3.1372805687992882</v>
      </c>
      <c r="K753">
        <v>0</v>
      </c>
      <c r="L753">
        <v>0</v>
      </c>
      <c r="M753">
        <v>3.1372805687992882</v>
      </c>
      <c r="N753">
        <v>0</v>
      </c>
    </row>
    <row r="754" spans="9:14" x14ac:dyDescent="0.3">
      <c r="I754">
        <v>751</v>
      </c>
      <c r="J754">
        <v>2.5669639154952062</v>
      </c>
      <c r="K754">
        <v>0</v>
      </c>
      <c r="L754">
        <v>0</v>
      </c>
      <c r="M754">
        <v>2.5669639154952062</v>
      </c>
      <c r="N754">
        <v>1</v>
      </c>
    </row>
    <row r="755" spans="9:14" x14ac:dyDescent="0.3">
      <c r="I755">
        <v>752</v>
      </c>
      <c r="J755">
        <v>3.5534485177659101</v>
      </c>
      <c r="K755">
        <v>0</v>
      </c>
      <c r="L755">
        <v>0</v>
      </c>
      <c r="M755">
        <v>3.5534485177659101</v>
      </c>
      <c r="N755">
        <v>0</v>
      </c>
    </row>
    <row r="756" spans="9:14" x14ac:dyDescent="0.3">
      <c r="I756">
        <v>753</v>
      </c>
      <c r="J756">
        <v>2.8731270091877361</v>
      </c>
      <c r="K756">
        <v>0</v>
      </c>
      <c r="L756">
        <v>0</v>
      </c>
      <c r="M756">
        <v>2.8731270091877361</v>
      </c>
      <c r="N756">
        <v>1</v>
      </c>
    </row>
    <row r="757" spans="9:14" x14ac:dyDescent="0.3">
      <c r="I757">
        <v>754</v>
      </c>
      <c r="J757">
        <v>3.5631146559157392</v>
      </c>
      <c r="K757">
        <v>0</v>
      </c>
      <c r="L757">
        <v>0</v>
      </c>
      <c r="M757">
        <v>3.5631146559157392</v>
      </c>
      <c r="N757">
        <v>0</v>
      </c>
    </row>
    <row r="758" spans="9:14" x14ac:dyDescent="0.3">
      <c r="I758">
        <v>755</v>
      </c>
      <c r="J758">
        <v>3.0893301380602831</v>
      </c>
      <c r="K758">
        <v>0</v>
      </c>
      <c r="L758">
        <v>0</v>
      </c>
      <c r="M758">
        <v>3.0893301380602831</v>
      </c>
      <c r="N758">
        <v>0</v>
      </c>
    </row>
    <row r="759" spans="9:14" x14ac:dyDescent="0.3">
      <c r="I759">
        <v>756</v>
      </c>
      <c r="J759">
        <v>3.1990371525995251</v>
      </c>
      <c r="K759">
        <v>0</v>
      </c>
      <c r="L759">
        <v>0</v>
      </c>
      <c r="M759">
        <v>3.1990371525995251</v>
      </c>
      <c r="N759">
        <v>0</v>
      </c>
    </row>
    <row r="760" spans="9:14" x14ac:dyDescent="0.3">
      <c r="I760">
        <v>757</v>
      </c>
      <c r="J760">
        <v>2.901960576358722</v>
      </c>
      <c r="K760">
        <v>0</v>
      </c>
      <c r="L760">
        <v>0</v>
      </c>
      <c r="M760">
        <v>2.901960576358722</v>
      </c>
      <c r="N760">
        <v>1</v>
      </c>
    </row>
    <row r="761" spans="9:14" x14ac:dyDescent="0.3">
      <c r="I761">
        <v>758</v>
      </c>
      <c r="J761">
        <v>2.8730003314419079</v>
      </c>
      <c r="K761">
        <v>0</v>
      </c>
      <c r="L761">
        <v>0</v>
      </c>
      <c r="M761">
        <v>2.8730003314419079</v>
      </c>
      <c r="N761">
        <v>1</v>
      </c>
    </row>
    <row r="762" spans="9:14" x14ac:dyDescent="0.3">
      <c r="I762">
        <v>759</v>
      </c>
      <c r="J762">
        <v>3.190605942037017</v>
      </c>
      <c r="K762">
        <v>0</v>
      </c>
      <c r="L762">
        <v>0</v>
      </c>
      <c r="M762">
        <v>3.190605942037017</v>
      </c>
      <c r="N762">
        <v>0</v>
      </c>
    </row>
    <row r="763" spans="9:14" x14ac:dyDescent="0.3">
      <c r="I763">
        <v>760</v>
      </c>
      <c r="J763">
        <v>2.3918763131307208</v>
      </c>
      <c r="K763">
        <v>0</v>
      </c>
      <c r="L763">
        <v>0</v>
      </c>
      <c r="M763">
        <v>2.3918763131307208</v>
      </c>
      <c r="N763">
        <v>1</v>
      </c>
    </row>
    <row r="764" spans="9:14" x14ac:dyDescent="0.3">
      <c r="I764">
        <v>761</v>
      </c>
      <c r="J764">
        <v>2.8806068128458331</v>
      </c>
      <c r="K764">
        <v>0</v>
      </c>
      <c r="L764">
        <v>0</v>
      </c>
      <c r="M764">
        <v>2.8806068128458331</v>
      </c>
      <c r="N764">
        <v>1</v>
      </c>
    </row>
    <row r="765" spans="9:14" x14ac:dyDescent="0.3">
      <c r="I765">
        <v>762</v>
      </c>
      <c r="J765">
        <v>3.6857595117662609</v>
      </c>
      <c r="K765">
        <v>0</v>
      </c>
      <c r="L765">
        <v>0</v>
      </c>
      <c r="M765">
        <v>3.6857595117662609</v>
      </c>
      <c r="N765">
        <v>0</v>
      </c>
    </row>
    <row r="766" spans="9:14" x14ac:dyDescent="0.3">
      <c r="I766">
        <v>763</v>
      </c>
      <c r="J766">
        <v>2.6558910350020142</v>
      </c>
      <c r="K766">
        <v>1</v>
      </c>
      <c r="L766">
        <v>1.1882674533898621</v>
      </c>
      <c r="M766">
        <v>3.844158488391876</v>
      </c>
      <c r="N766">
        <v>0</v>
      </c>
    </row>
    <row r="767" spans="9:14" x14ac:dyDescent="0.3">
      <c r="I767">
        <v>764</v>
      </c>
      <c r="J767">
        <v>3.0932841987969062</v>
      </c>
      <c r="K767">
        <v>0</v>
      </c>
      <c r="L767">
        <v>0</v>
      </c>
      <c r="M767">
        <v>3.0932841987969062</v>
      </c>
      <c r="N767">
        <v>0</v>
      </c>
    </row>
    <row r="768" spans="9:14" x14ac:dyDescent="0.3">
      <c r="I768">
        <v>765</v>
      </c>
      <c r="J768">
        <v>2.6979297540468541</v>
      </c>
      <c r="K768">
        <v>0</v>
      </c>
      <c r="L768">
        <v>0</v>
      </c>
      <c r="M768">
        <v>2.6979297540468541</v>
      </c>
      <c r="N768">
        <v>1</v>
      </c>
    </row>
    <row r="769" spans="9:14" x14ac:dyDescent="0.3">
      <c r="I769">
        <v>766</v>
      </c>
      <c r="J769">
        <v>3.1138271202976329</v>
      </c>
      <c r="K769">
        <v>0</v>
      </c>
      <c r="L769">
        <v>0</v>
      </c>
      <c r="M769">
        <v>3.1138271202976329</v>
      </c>
      <c r="N769">
        <v>0</v>
      </c>
    </row>
    <row r="770" spans="9:14" x14ac:dyDescent="0.3">
      <c r="I770">
        <v>767</v>
      </c>
      <c r="J770">
        <v>3.027458540446391</v>
      </c>
      <c r="K770">
        <v>0</v>
      </c>
      <c r="L770">
        <v>0</v>
      </c>
      <c r="M770">
        <v>3.027458540446391</v>
      </c>
      <c r="N770">
        <v>0</v>
      </c>
    </row>
    <row r="771" spans="9:14" x14ac:dyDescent="0.3">
      <c r="I771">
        <v>768</v>
      </c>
      <c r="J771">
        <v>2.3922082692702591</v>
      </c>
      <c r="K771">
        <v>0</v>
      </c>
      <c r="L771">
        <v>0</v>
      </c>
      <c r="M771">
        <v>2.3922082692702591</v>
      </c>
      <c r="N771">
        <v>1</v>
      </c>
    </row>
    <row r="772" spans="9:14" x14ac:dyDescent="0.3">
      <c r="I772">
        <v>769</v>
      </c>
      <c r="J772">
        <v>3.1400368250345418</v>
      </c>
      <c r="K772">
        <v>0</v>
      </c>
      <c r="L772">
        <v>0</v>
      </c>
      <c r="M772">
        <v>3.1400368250345418</v>
      </c>
      <c r="N772">
        <v>0</v>
      </c>
    </row>
    <row r="773" spans="9:14" x14ac:dyDescent="0.3">
      <c r="I773">
        <v>770</v>
      </c>
      <c r="J773">
        <v>2.7950871487220521</v>
      </c>
      <c r="K773">
        <v>0</v>
      </c>
      <c r="L773">
        <v>0</v>
      </c>
      <c r="M773">
        <v>2.7950871487220521</v>
      </c>
      <c r="N773">
        <v>1</v>
      </c>
    </row>
    <row r="774" spans="9:14" x14ac:dyDescent="0.3">
      <c r="I774">
        <v>771</v>
      </c>
      <c r="J774">
        <v>3.1070248226104131</v>
      </c>
      <c r="K774">
        <v>0</v>
      </c>
      <c r="L774">
        <v>0</v>
      </c>
      <c r="M774">
        <v>3.1070248226104131</v>
      </c>
      <c r="N774">
        <v>0</v>
      </c>
    </row>
    <row r="775" spans="9:14" x14ac:dyDescent="0.3">
      <c r="I775">
        <v>772</v>
      </c>
      <c r="J775">
        <v>3.4129115868746269</v>
      </c>
      <c r="K775">
        <v>0</v>
      </c>
      <c r="L775">
        <v>0</v>
      </c>
      <c r="M775">
        <v>3.4129115868746269</v>
      </c>
      <c r="N775">
        <v>0</v>
      </c>
    </row>
    <row r="776" spans="9:14" x14ac:dyDescent="0.3">
      <c r="I776">
        <v>773</v>
      </c>
      <c r="J776">
        <v>3.1379250869063582</v>
      </c>
      <c r="K776">
        <v>1</v>
      </c>
      <c r="L776">
        <v>1.4460857528495801</v>
      </c>
      <c r="M776">
        <v>4.5840108397559387</v>
      </c>
      <c r="N776">
        <v>0</v>
      </c>
    </row>
    <row r="777" spans="9:14" x14ac:dyDescent="0.3">
      <c r="I777">
        <v>774</v>
      </c>
      <c r="J777">
        <v>2.9111884407807551</v>
      </c>
      <c r="K777">
        <v>0</v>
      </c>
      <c r="L777">
        <v>0</v>
      </c>
      <c r="M777">
        <v>2.9111884407807551</v>
      </c>
      <c r="N777">
        <v>1</v>
      </c>
    </row>
    <row r="778" spans="9:14" x14ac:dyDescent="0.3">
      <c r="I778">
        <v>775</v>
      </c>
      <c r="J778">
        <v>2.5635369284430491</v>
      </c>
      <c r="K778">
        <v>1</v>
      </c>
      <c r="L778">
        <v>1.4022845834933531</v>
      </c>
      <c r="M778">
        <v>3.9658215119364031</v>
      </c>
      <c r="N778">
        <v>0</v>
      </c>
    </row>
    <row r="779" spans="9:14" x14ac:dyDescent="0.3">
      <c r="I779">
        <v>776</v>
      </c>
      <c r="J779">
        <v>3.2133658237819072</v>
      </c>
      <c r="K779">
        <v>1</v>
      </c>
      <c r="L779">
        <v>1.332104569478394</v>
      </c>
      <c r="M779">
        <v>4.5454703932603007</v>
      </c>
      <c r="N779">
        <v>0</v>
      </c>
    </row>
    <row r="780" spans="9:14" x14ac:dyDescent="0.3">
      <c r="I780">
        <v>777</v>
      </c>
      <c r="J780">
        <v>2.6661802832195889</v>
      </c>
      <c r="K780">
        <v>0</v>
      </c>
      <c r="L780">
        <v>0</v>
      </c>
      <c r="M780">
        <v>2.6661802832195889</v>
      </c>
      <c r="N780">
        <v>1</v>
      </c>
    </row>
    <row r="781" spans="9:14" x14ac:dyDescent="0.3">
      <c r="I781">
        <v>778</v>
      </c>
      <c r="J781">
        <v>3.142870249979401</v>
      </c>
      <c r="K781">
        <v>0</v>
      </c>
      <c r="L781">
        <v>0</v>
      </c>
      <c r="M781">
        <v>3.142870249979401</v>
      </c>
      <c r="N781">
        <v>0</v>
      </c>
    </row>
    <row r="782" spans="9:14" x14ac:dyDescent="0.3">
      <c r="I782">
        <v>779</v>
      </c>
      <c r="J782">
        <v>3.2834030374267562</v>
      </c>
      <c r="K782">
        <v>0</v>
      </c>
      <c r="L782">
        <v>0</v>
      </c>
      <c r="M782">
        <v>3.2834030374267562</v>
      </c>
      <c r="N782">
        <v>0</v>
      </c>
    </row>
    <row r="783" spans="9:14" x14ac:dyDescent="0.3">
      <c r="I783">
        <v>780</v>
      </c>
      <c r="J783">
        <v>3.033589650254731</v>
      </c>
      <c r="K783">
        <v>0</v>
      </c>
      <c r="L783">
        <v>0</v>
      </c>
      <c r="M783">
        <v>3.033589650254731</v>
      </c>
      <c r="N783">
        <v>0</v>
      </c>
    </row>
    <row r="784" spans="9:14" x14ac:dyDescent="0.3">
      <c r="I784">
        <v>781</v>
      </c>
      <c r="J784">
        <v>2.5249748372044611</v>
      </c>
      <c r="K784">
        <v>0</v>
      </c>
      <c r="L784">
        <v>0</v>
      </c>
      <c r="M784">
        <v>2.5249748372044611</v>
      </c>
      <c r="N784">
        <v>1</v>
      </c>
    </row>
    <row r="785" spans="9:14" x14ac:dyDescent="0.3">
      <c r="I785">
        <v>782</v>
      </c>
      <c r="J785">
        <v>3.1592630322393571</v>
      </c>
      <c r="K785">
        <v>0</v>
      </c>
      <c r="L785">
        <v>0</v>
      </c>
      <c r="M785">
        <v>3.1592630322393571</v>
      </c>
      <c r="N785">
        <v>0</v>
      </c>
    </row>
    <row r="786" spans="9:14" x14ac:dyDescent="0.3">
      <c r="I786">
        <v>783</v>
      </c>
      <c r="J786">
        <v>3.3235576192020102</v>
      </c>
      <c r="K786">
        <v>0</v>
      </c>
      <c r="L786">
        <v>0</v>
      </c>
      <c r="M786">
        <v>3.3235576192020102</v>
      </c>
      <c r="N786">
        <v>0</v>
      </c>
    </row>
    <row r="787" spans="9:14" x14ac:dyDescent="0.3">
      <c r="I787">
        <v>784</v>
      </c>
      <c r="J787">
        <v>3.1683260433633178</v>
      </c>
      <c r="K787">
        <v>0</v>
      </c>
      <c r="L787">
        <v>0</v>
      </c>
      <c r="M787">
        <v>3.1683260433633178</v>
      </c>
      <c r="N787">
        <v>0</v>
      </c>
    </row>
    <row r="788" spans="9:14" x14ac:dyDescent="0.3">
      <c r="I788">
        <v>785</v>
      </c>
      <c r="J788">
        <v>3.520104625232038</v>
      </c>
      <c r="K788">
        <v>0</v>
      </c>
      <c r="L788">
        <v>0</v>
      </c>
      <c r="M788">
        <v>3.520104625232038</v>
      </c>
      <c r="N788">
        <v>0</v>
      </c>
    </row>
    <row r="789" spans="9:14" x14ac:dyDescent="0.3">
      <c r="I789">
        <v>786</v>
      </c>
      <c r="J789">
        <v>3.559554385039823</v>
      </c>
      <c r="K789">
        <v>0</v>
      </c>
      <c r="L789">
        <v>0</v>
      </c>
      <c r="M789">
        <v>3.559554385039823</v>
      </c>
      <c r="N789">
        <v>0</v>
      </c>
    </row>
    <row r="790" spans="9:14" x14ac:dyDescent="0.3">
      <c r="I790">
        <v>787</v>
      </c>
      <c r="J790">
        <v>2.834840055583395</v>
      </c>
      <c r="K790">
        <v>0</v>
      </c>
      <c r="L790">
        <v>0</v>
      </c>
      <c r="M790">
        <v>2.834840055583395</v>
      </c>
      <c r="N790">
        <v>1</v>
      </c>
    </row>
    <row r="791" spans="9:14" x14ac:dyDescent="0.3">
      <c r="I791">
        <v>788</v>
      </c>
      <c r="J791">
        <v>2.8223434050805549</v>
      </c>
      <c r="K791">
        <v>0</v>
      </c>
      <c r="L791">
        <v>0</v>
      </c>
      <c r="M791">
        <v>2.8223434050805549</v>
      </c>
      <c r="N791">
        <v>1</v>
      </c>
    </row>
    <row r="792" spans="9:14" x14ac:dyDescent="0.3">
      <c r="I792">
        <v>789</v>
      </c>
      <c r="J792">
        <v>3.3480239227918598</v>
      </c>
      <c r="K792">
        <v>0</v>
      </c>
      <c r="L792">
        <v>0</v>
      </c>
      <c r="M792">
        <v>3.3480239227918598</v>
      </c>
      <c r="N792">
        <v>0</v>
      </c>
    </row>
    <row r="793" spans="9:14" x14ac:dyDescent="0.3">
      <c r="I793">
        <v>790</v>
      </c>
      <c r="J793">
        <v>2.5713049850980321</v>
      </c>
      <c r="K793">
        <v>0</v>
      </c>
      <c r="L793">
        <v>0</v>
      </c>
      <c r="M793">
        <v>2.5713049850980321</v>
      </c>
      <c r="N793">
        <v>1</v>
      </c>
    </row>
    <row r="794" spans="9:14" x14ac:dyDescent="0.3">
      <c r="I794">
        <v>791</v>
      </c>
      <c r="J794">
        <v>2.9917471428910121</v>
      </c>
      <c r="K794">
        <v>0</v>
      </c>
      <c r="L794">
        <v>0</v>
      </c>
      <c r="M794">
        <v>2.9917471428910121</v>
      </c>
      <c r="N794">
        <v>1</v>
      </c>
    </row>
    <row r="795" spans="9:14" x14ac:dyDescent="0.3">
      <c r="I795">
        <v>792</v>
      </c>
      <c r="J795">
        <v>2.9897479117393382</v>
      </c>
      <c r="K795">
        <v>0</v>
      </c>
      <c r="L795">
        <v>0</v>
      </c>
      <c r="M795">
        <v>2.9897479117393382</v>
      </c>
      <c r="N795">
        <v>1</v>
      </c>
    </row>
    <row r="796" spans="9:14" x14ac:dyDescent="0.3">
      <c r="I796">
        <v>793</v>
      </c>
      <c r="J796">
        <v>3.1301463817363082</v>
      </c>
      <c r="K796">
        <v>1</v>
      </c>
      <c r="L796">
        <v>1.0236579329608539</v>
      </c>
      <c r="M796">
        <v>4.1538043146971617</v>
      </c>
      <c r="N796">
        <v>0</v>
      </c>
    </row>
    <row r="797" spans="9:14" x14ac:dyDescent="0.3">
      <c r="I797">
        <v>794</v>
      </c>
      <c r="J797">
        <v>2.5616055621137801</v>
      </c>
      <c r="K797">
        <v>1</v>
      </c>
      <c r="L797">
        <v>1.201157894792876</v>
      </c>
      <c r="M797">
        <v>3.7627634569066548</v>
      </c>
      <c r="N797">
        <v>0</v>
      </c>
    </row>
    <row r="798" spans="9:14" x14ac:dyDescent="0.3">
      <c r="I798">
        <v>795</v>
      </c>
      <c r="J798">
        <v>2.4229583015611098</v>
      </c>
      <c r="K798">
        <v>0</v>
      </c>
      <c r="L798">
        <v>0</v>
      </c>
      <c r="M798">
        <v>2.4229583015611098</v>
      </c>
      <c r="N798">
        <v>1</v>
      </c>
    </row>
    <row r="799" spans="9:14" x14ac:dyDescent="0.3">
      <c r="I799">
        <v>796</v>
      </c>
      <c r="J799">
        <v>2.999582816260852</v>
      </c>
      <c r="K799">
        <v>0</v>
      </c>
      <c r="L799">
        <v>0</v>
      </c>
      <c r="M799">
        <v>2.999582816260852</v>
      </c>
      <c r="N799">
        <v>1</v>
      </c>
    </row>
    <row r="800" spans="9:14" x14ac:dyDescent="0.3">
      <c r="I800">
        <v>797</v>
      </c>
      <c r="J800">
        <v>2.6493168906368791</v>
      </c>
      <c r="K800">
        <v>1</v>
      </c>
      <c r="L800">
        <v>1.81796407001569</v>
      </c>
      <c r="M800">
        <v>4.4672809606525687</v>
      </c>
      <c r="N800">
        <v>0</v>
      </c>
    </row>
    <row r="801" spans="9:14" x14ac:dyDescent="0.3">
      <c r="I801">
        <v>798</v>
      </c>
      <c r="J801">
        <v>3.333632023500908</v>
      </c>
      <c r="K801">
        <v>0</v>
      </c>
      <c r="L801">
        <v>0</v>
      </c>
      <c r="M801">
        <v>3.333632023500908</v>
      </c>
      <c r="N801">
        <v>0</v>
      </c>
    </row>
    <row r="802" spans="9:14" x14ac:dyDescent="0.3">
      <c r="I802">
        <v>799</v>
      </c>
      <c r="J802">
        <v>2.250314007345676</v>
      </c>
      <c r="K802">
        <v>1</v>
      </c>
      <c r="L802">
        <v>1.0381855192738041</v>
      </c>
      <c r="M802">
        <v>3.288499526619479</v>
      </c>
      <c r="N802">
        <v>0</v>
      </c>
    </row>
    <row r="803" spans="9:14" x14ac:dyDescent="0.3">
      <c r="I803">
        <v>800</v>
      </c>
      <c r="J803">
        <v>2.5529145333935199</v>
      </c>
      <c r="K803">
        <v>0</v>
      </c>
      <c r="L803">
        <v>0</v>
      </c>
      <c r="M803">
        <v>2.5529145333935199</v>
      </c>
      <c r="N803">
        <v>1</v>
      </c>
    </row>
    <row r="804" spans="9:14" x14ac:dyDescent="0.3">
      <c r="I804">
        <v>801</v>
      </c>
      <c r="J804">
        <v>3.256348159271981</v>
      </c>
      <c r="K804">
        <v>0</v>
      </c>
      <c r="L804">
        <v>0</v>
      </c>
      <c r="M804">
        <v>3.256348159271981</v>
      </c>
      <c r="N804">
        <v>0</v>
      </c>
    </row>
    <row r="805" spans="9:14" x14ac:dyDescent="0.3">
      <c r="I805">
        <v>802</v>
      </c>
      <c r="J805">
        <v>3.103086836360176</v>
      </c>
      <c r="K805">
        <v>0</v>
      </c>
      <c r="L805">
        <v>0</v>
      </c>
      <c r="M805">
        <v>3.103086836360176</v>
      </c>
      <c r="N805">
        <v>0</v>
      </c>
    </row>
    <row r="806" spans="9:14" x14ac:dyDescent="0.3">
      <c r="I806">
        <v>803</v>
      </c>
      <c r="J806">
        <v>2.308867681639645</v>
      </c>
      <c r="K806">
        <v>1</v>
      </c>
      <c r="L806">
        <v>1.726079897991734</v>
      </c>
      <c r="M806">
        <v>4.0349475796313783</v>
      </c>
      <c r="N806">
        <v>0</v>
      </c>
    </row>
    <row r="807" spans="9:14" x14ac:dyDescent="0.3">
      <c r="I807">
        <v>804</v>
      </c>
      <c r="J807">
        <v>2.5552919687611819</v>
      </c>
      <c r="K807">
        <v>1</v>
      </c>
      <c r="L807">
        <v>1.8846937595702999</v>
      </c>
      <c r="M807">
        <v>4.4399857283314823</v>
      </c>
      <c r="N807">
        <v>0</v>
      </c>
    </row>
    <row r="808" spans="9:14" x14ac:dyDescent="0.3">
      <c r="I808">
        <v>805</v>
      </c>
      <c r="J808">
        <v>3.0170197007065291</v>
      </c>
      <c r="K808">
        <v>0</v>
      </c>
      <c r="L808">
        <v>0</v>
      </c>
      <c r="M808">
        <v>3.0170197007065291</v>
      </c>
      <c r="N808">
        <v>0</v>
      </c>
    </row>
    <row r="809" spans="9:14" x14ac:dyDescent="0.3">
      <c r="I809">
        <v>806</v>
      </c>
      <c r="J809">
        <v>2.4258422973523639</v>
      </c>
      <c r="K809">
        <v>0</v>
      </c>
      <c r="L809">
        <v>0</v>
      </c>
      <c r="M809">
        <v>2.4258422973523639</v>
      </c>
      <c r="N809">
        <v>1</v>
      </c>
    </row>
    <row r="810" spans="9:14" x14ac:dyDescent="0.3">
      <c r="I810">
        <v>807</v>
      </c>
      <c r="J810">
        <v>2.595664433972217</v>
      </c>
      <c r="K810">
        <v>0</v>
      </c>
      <c r="L810">
        <v>0</v>
      </c>
      <c r="M810">
        <v>2.595664433972217</v>
      </c>
      <c r="N810">
        <v>1</v>
      </c>
    </row>
    <row r="811" spans="9:14" x14ac:dyDescent="0.3">
      <c r="I811">
        <v>808</v>
      </c>
      <c r="J811">
        <v>2.4471464975558268</v>
      </c>
      <c r="K811">
        <v>0</v>
      </c>
      <c r="L811">
        <v>0</v>
      </c>
      <c r="M811">
        <v>2.4471464975558268</v>
      </c>
      <c r="N811">
        <v>1</v>
      </c>
    </row>
    <row r="812" spans="9:14" x14ac:dyDescent="0.3">
      <c r="I812">
        <v>809</v>
      </c>
      <c r="J812">
        <v>3.4684903404420302</v>
      </c>
      <c r="K812">
        <v>0</v>
      </c>
      <c r="L812">
        <v>0</v>
      </c>
      <c r="M812">
        <v>3.4684903404420302</v>
      </c>
      <c r="N812">
        <v>0</v>
      </c>
    </row>
    <row r="813" spans="9:14" x14ac:dyDescent="0.3">
      <c r="I813">
        <v>810</v>
      </c>
      <c r="J813">
        <v>3.4808047450858939</v>
      </c>
      <c r="K813">
        <v>0</v>
      </c>
      <c r="L813">
        <v>0</v>
      </c>
      <c r="M813">
        <v>3.4808047450858939</v>
      </c>
      <c r="N813">
        <v>0</v>
      </c>
    </row>
    <row r="814" spans="9:14" x14ac:dyDescent="0.3">
      <c r="I814">
        <v>811</v>
      </c>
      <c r="J814">
        <v>3.5419668773782318</v>
      </c>
      <c r="K814">
        <v>0</v>
      </c>
      <c r="L814">
        <v>0</v>
      </c>
      <c r="M814">
        <v>3.5419668773782318</v>
      </c>
      <c r="N814">
        <v>0</v>
      </c>
    </row>
    <row r="815" spans="9:14" x14ac:dyDescent="0.3">
      <c r="I815">
        <v>812</v>
      </c>
      <c r="J815">
        <v>3.442569581484888</v>
      </c>
      <c r="K815">
        <v>0</v>
      </c>
      <c r="L815">
        <v>0</v>
      </c>
      <c r="M815">
        <v>3.442569581484888</v>
      </c>
      <c r="N815">
        <v>0</v>
      </c>
    </row>
    <row r="816" spans="9:14" x14ac:dyDescent="0.3">
      <c r="I816">
        <v>813</v>
      </c>
      <c r="J816">
        <v>2.426550338565729</v>
      </c>
      <c r="K816">
        <v>0</v>
      </c>
      <c r="L816">
        <v>0</v>
      </c>
      <c r="M816">
        <v>2.426550338565729</v>
      </c>
      <c r="N816">
        <v>1</v>
      </c>
    </row>
    <row r="817" spans="9:14" x14ac:dyDescent="0.3">
      <c r="I817">
        <v>814</v>
      </c>
      <c r="J817">
        <v>2.9544324232216441</v>
      </c>
      <c r="K817">
        <v>0</v>
      </c>
      <c r="L817">
        <v>0</v>
      </c>
      <c r="M817">
        <v>2.9544324232216441</v>
      </c>
      <c r="N817">
        <v>1</v>
      </c>
    </row>
    <row r="818" spans="9:14" x14ac:dyDescent="0.3">
      <c r="I818">
        <v>815</v>
      </c>
      <c r="J818">
        <v>2.332266785857998</v>
      </c>
      <c r="K818">
        <v>0</v>
      </c>
      <c r="L818">
        <v>0</v>
      </c>
      <c r="M818">
        <v>2.332266785857998</v>
      </c>
      <c r="N818">
        <v>1</v>
      </c>
    </row>
    <row r="819" spans="9:14" x14ac:dyDescent="0.3">
      <c r="I819">
        <v>816</v>
      </c>
      <c r="J819">
        <v>2.8878492359176411</v>
      </c>
      <c r="K819">
        <v>0</v>
      </c>
      <c r="L819">
        <v>0</v>
      </c>
      <c r="M819">
        <v>2.8878492359176411</v>
      </c>
      <c r="N819">
        <v>1</v>
      </c>
    </row>
    <row r="820" spans="9:14" x14ac:dyDescent="0.3">
      <c r="I820">
        <v>817</v>
      </c>
      <c r="J820">
        <v>2.2275887011471198</v>
      </c>
      <c r="K820">
        <v>0</v>
      </c>
      <c r="L820">
        <v>0</v>
      </c>
      <c r="M820">
        <v>2.2275887011471198</v>
      </c>
      <c r="N820">
        <v>1</v>
      </c>
    </row>
    <row r="821" spans="9:14" x14ac:dyDescent="0.3">
      <c r="I821">
        <v>818</v>
      </c>
      <c r="J821">
        <v>3.5197933516793771</v>
      </c>
      <c r="K821">
        <v>0</v>
      </c>
      <c r="L821">
        <v>0</v>
      </c>
      <c r="M821">
        <v>3.5197933516793771</v>
      </c>
      <c r="N821">
        <v>0</v>
      </c>
    </row>
    <row r="822" spans="9:14" x14ac:dyDescent="0.3">
      <c r="I822">
        <v>819</v>
      </c>
      <c r="J822">
        <v>2.9666714227026971</v>
      </c>
      <c r="K822">
        <v>0</v>
      </c>
      <c r="L822">
        <v>0</v>
      </c>
      <c r="M822">
        <v>2.9666714227026971</v>
      </c>
      <c r="N822">
        <v>1</v>
      </c>
    </row>
    <row r="823" spans="9:14" x14ac:dyDescent="0.3">
      <c r="I823">
        <v>820</v>
      </c>
      <c r="J823">
        <v>3.2977888358459611</v>
      </c>
      <c r="K823">
        <v>0</v>
      </c>
      <c r="L823">
        <v>0</v>
      </c>
      <c r="M823">
        <v>3.2977888358459611</v>
      </c>
      <c r="N823">
        <v>0</v>
      </c>
    </row>
    <row r="824" spans="9:14" x14ac:dyDescent="0.3">
      <c r="I824">
        <v>821</v>
      </c>
      <c r="J824">
        <v>3.4317403077135218</v>
      </c>
      <c r="K824">
        <v>1</v>
      </c>
      <c r="L824">
        <v>1.8601512051147731</v>
      </c>
      <c r="M824">
        <v>5.2918915128282942</v>
      </c>
      <c r="N824">
        <v>0</v>
      </c>
    </row>
    <row r="825" spans="9:14" x14ac:dyDescent="0.3">
      <c r="I825">
        <v>822</v>
      </c>
      <c r="J825">
        <v>3.1819708926245118</v>
      </c>
      <c r="K825">
        <v>1</v>
      </c>
      <c r="L825">
        <v>1.1073532775237209</v>
      </c>
      <c r="M825">
        <v>4.289324170148233</v>
      </c>
      <c r="N825">
        <v>0</v>
      </c>
    </row>
    <row r="826" spans="9:14" x14ac:dyDescent="0.3">
      <c r="I826">
        <v>823</v>
      </c>
      <c r="J826">
        <v>2.5383354708078389</v>
      </c>
      <c r="K826">
        <v>0</v>
      </c>
      <c r="L826">
        <v>0</v>
      </c>
      <c r="M826">
        <v>2.5383354708078389</v>
      </c>
      <c r="N826">
        <v>1</v>
      </c>
    </row>
    <row r="827" spans="9:14" x14ac:dyDescent="0.3">
      <c r="I827">
        <v>824</v>
      </c>
      <c r="J827">
        <v>3.654225676294514</v>
      </c>
      <c r="K827">
        <v>0</v>
      </c>
      <c r="L827">
        <v>0</v>
      </c>
      <c r="M827">
        <v>3.654225676294514</v>
      </c>
      <c r="N827">
        <v>0</v>
      </c>
    </row>
    <row r="828" spans="9:14" x14ac:dyDescent="0.3">
      <c r="I828">
        <v>825</v>
      </c>
      <c r="J828">
        <v>3.1712549925457969</v>
      </c>
      <c r="K828">
        <v>0</v>
      </c>
      <c r="L828">
        <v>0</v>
      </c>
      <c r="M828">
        <v>3.1712549925457969</v>
      </c>
      <c r="N828">
        <v>0</v>
      </c>
    </row>
    <row r="829" spans="9:14" x14ac:dyDescent="0.3">
      <c r="I829">
        <v>826</v>
      </c>
      <c r="J829">
        <v>2.6401462548658401</v>
      </c>
      <c r="K829">
        <v>1</v>
      </c>
      <c r="L829">
        <v>1.824936231512003</v>
      </c>
      <c r="M829">
        <v>4.4650824863778427</v>
      </c>
      <c r="N829">
        <v>0</v>
      </c>
    </row>
    <row r="830" spans="9:14" x14ac:dyDescent="0.3">
      <c r="I830">
        <v>827</v>
      </c>
      <c r="J830">
        <v>2.926715092636754</v>
      </c>
      <c r="K830">
        <v>0</v>
      </c>
      <c r="L830">
        <v>0</v>
      </c>
      <c r="M830">
        <v>2.926715092636754</v>
      </c>
      <c r="N830">
        <v>1</v>
      </c>
    </row>
    <row r="831" spans="9:14" x14ac:dyDescent="0.3">
      <c r="I831">
        <v>828</v>
      </c>
      <c r="J831">
        <v>2.821522848741</v>
      </c>
      <c r="K831">
        <v>0</v>
      </c>
      <c r="L831">
        <v>0</v>
      </c>
      <c r="M831">
        <v>2.821522848741</v>
      </c>
      <c r="N831">
        <v>1</v>
      </c>
    </row>
    <row r="832" spans="9:14" x14ac:dyDescent="0.3">
      <c r="I832">
        <v>829</v>
      </c>
      <c r="J832">
        <v>2.352232007963805</v>
      </c>
      <c r="K832">
        <v>0</v>
      </c>
      <c r="L832">
        <v>0</v>
      </c>
      <c r="M832">
        <v>2.352232007963805</v>
      </c>
      <c r="N832">
        <v>1</v>
      </c>
    </row>
    <row r="833" spans="9:14" x14ac:dyDescent="0.3">
      <c r="I833">
        <v>830</v>
      </c>
      <c r="J833">
        <v>2.5814893644572061</v>
      </c>
      <c r="K833">
        <v>0</v>
      </c>
      <c r="L833">
        <v>0</v>
      </c>
      <c r="M833">
        <v>2.5814893644572061</v>
      </c>
      <c r="N833">
        <v>1</v>
      </c>
    </row>
    <row r="834" spans="9:14" x14ac:dyDescent="0.3">
      <c r="I834">
        <v>831</v>
      </c>
      <c r="J834">
        <v>2.714826175640153</v>
      </c>
      <c r="K834">
        <v>0</v>
      </c>
      <c r="L834">
        <v>0</v>
      </c>
      <c r="M834">
        <v>2.714826175640153</v>
      </c>
      <c r="N834">
        <v>1</v>
      </c>
    </row>
    <row r="835" spans="9:14" x14ac:dyDescent="0.3">
      <c r="I835">
        <v>832</v>
      </c>
      <c r="J835">
        <v>3.7334338114247481</v>
      </c>
      <c r="K835">
        <v>0</v>
      </c>
      <c r="L835">
        <v>0</v>
      </c>
      <c r="M835">
        <v>3.7334338114247481</v>
      </c>
      <c r="N835">
        <v>0</v>
      </c>
    </row>
    <row r="836" spans="9:14" x14ac:dyDescent="0.3">
      <c r="I836">
        <v>833</v>
      </c>
      <c r="J836">
        <v>2.4114497555294938</v>
      </c>
      <c r="K836">
        <v>1</v>
      </c>
      <c r="L836">
        <v>1.0537655952794189</v>
      </c>
      <c r="M836">
        <v>3.4652153508089141</v>
      </c>
      <c r="N836">
        <v>0</v>
      </c>
    </row>
    <row r="837" spans="9:14" x14ac:dyDescent="0.3">
      <c r="I837">
        <v>834</v>
      </c>
      <c r="J837">
        <v>3.223157050589196</v>
      </c>
      <c r="K837">
        <v>0</v>
      </c>
      <c r="L837">
        <v>0</v>
      </c>
      <c r="M837">
        <v>3.223157050589196</v>
      </c>
      <c r="N837">
        <v>0</v>
      </c>
    </row>
    <row r="838" spans="9:14" x14ac:dyDescent="0.3">
      <c r="I838">
        <v>835</v>
      </c>
      <c r="J838">
        <v>3.2958770926196612</v>
      </c>
      <c r="K838">
        <v>1</v>
      </c>
      <c r="L838">
        <v>1.2666703677943341</v>
      </c>
      <c r="M838">
        <v>4.5625474604139953</v>
      </c>
      <c r="N838">
        <v>0</v>
      </c>
    </row>
    <row r="839" spans="9:14" x14ac:dyDescent="0.3">
      <c r="I839">
        <v>836</v>
      </c>
      <c r="J839">
        <v>3.267422963052208</v>
      </c>
      <c r="K839">
        <v>0</v>
      </c>
      <c r="L839">
        <v>0</v>
      </c>
      <c r="M839">
        <v>3.267422963052208</v>
      </c>
      <c r="N839">
        <v>0</v>
      </c>
    </row>
    <row r="840" spans="9:14" x14ac:dyDescent="0.3">
      <c r="I840">
        <v>837</v>
      </c>
      <c r="J840">
        <v>3.595011846666162</v>
      </c>
      <c r="K840">
        <v>0</v>
      </c>
      <c r="L840">
        <v>0</v>
      </c>
      <c r="M840">
        <v>3.595011846666162</v>
      </c>
      <c r="N840">
        <v>0</v>
      </c>
    </row>
    <row r="841" spans="9:14" x14ac:dyDescent="0.3">
      <c r="I841">
        <v>838</v>
      </c>
      <c r="J841">
        <v>3.7345789655754231</v>
      </c>
      <c r="K841">
        <v>0</v>
      </c>
      <c r="L841">
        <v>0</v>
      </c>
      <c r="M841">
        <v>3.7345789655754231</v>
      </c>
      <c r="N841">
        <v>0</v>
      </c>
    </row>
    <row r="842" spans="9:14" x14ac:dyDescent="0.3">
      <c r="I842">
        <v>839</v>
      </c>
      <c r="J842">
        <v>3.1877800651044659</v>
      </c>
      <c r="K842">
        <v>0</v>
      </c>
      <c r="L842">
        <v>0</v>
      </c>
      <c r="M842">
        <v>3.1877800651044659</v>
      </c>
      <c r="N842">
        <v>0</v>
      </c>
    </row>
    <row r="843" spans="9:14" x14ac:dyDescent="0.3">
      <c r="I843">
        <v>840</v>
      </c>
      <c r="J843">
        <v>2.7602129211392339</v>
      </c>
      <c r="K843">
        <v>0</v>
      </c>
      <c r="L843">
        <v>0</v>
      </c>
      <c r="M843">
        <v>2.7602129211392339</v>
      </c>
      <c r="N843">
        <v>1</v>
      </c>
    </row>
    <row r="844" spans="9:14" x14ac:dyDescent="0.3">
      <c r="I844">
        <v>841</v>
      </c>
      <c r="J844">
        <v>3.4092732067922991</v>
      </c>
      <c r="K844">
        <v>0</v>
      </c>
      <c r="L844">
        <v>0</v>
      </c>
      <c r="M844">
        <v>3.4092732067922991</v>
      </c>
      <c r="N844">
        <v>0</v>
      </c>
    </row>
    <row r="845" spans="9:14" x14ac:dyDescent="0.3">
      <c r="I845">
        <v>842</v>
      </c>
      <c r="J845">
        <v>2.664667249545507</v>
      </c>
      <c r="K845">
        <v>0</v>
      </c>
      <c r="L845">
        <v>0</v>
      </c>
      <c r="M845">
        <v>2.664667249545507</v>
      </c>
      <c r="N845">
        <v>1</v>
      </c>
    </row>
    <row r="846" spans="9:14" x14ac:dyDescent="0.3">
      <c r="I846">
        <v>843</v>
      </c>
      <c r="J846">
        <v>3.610903164059839</v>
      </c>
      <c r="K846">
        <v>0</v>
      </c>
      <c r="L846">
        <v>0</v>
      </c>
      <c r="M846">
        <v>3.610903164059839</v>
      </c>
      <c r="N846">
        <v>0</v>
      </c>
    </row>
    <row r="847" spans="9:14" x14ac:dyDescent="0.3">
      <c r="I847">
        <v>844</v>
      </c>
      <c r="J847">
        <v>2.7263714881578358</v>
      </c>
      <c r="K847">
        <v>0</v>
      </c>
      <c r="L847">
        <v>0</v>
      </c>
      <c r="M847">
        <v>2.7263714881578358</v>
      </c>
      <c r="N847">
        <v>1</v>
      </c>
    </row>
    <row r="848" spans="9:14" x14ac:dyDescent="0.3">
      <c r="I848">
        <v>845</v>
      </c>
      <c r="J848">
        <v>2.5412863048601579</v>
      </c>
      <c r="K848">
        <v>0</v>
      </c>
      <c r="L848">
        <v>0</v>
      </c>
      <c r="M848">
        <v>2.5412863048601579</v>
      </c>
      <c r="N848">
        <v>1</v>
      </c>
    </row>
    <row r="849" spans="9:14" x14ac:dyDescent="0.3">
      <c r="I849">
        <v>846</v>
      </c>
      <c r="J849">
        <v>2.921355470620179</v>
      </c>
      <c r="K849">
        <v>0</v>
      </c>
      <c r="L849">
        <v>0</v>
      </c>
      <c r="M849">
        <v>2.921355470620179</v>
      </c>
      <c r="N849">
        <v>1</v>
      </c>
    </row>
    <row r="850" spans="9:14" x14ac:dyDescent="0.3">
      <c r="I850">
        <v>847</v>
      </c>
      <c r="J850">
        <v>2.905334560556716</v>
      </c>
      <c r="K850">
        <v>0</v>
      </c>
      <c r="L850">
        <v>0</v>
      </c>
      <c r="M850">
        <v>2.905334560556716</v>
      </c>
      <c r="N850">
        <v>1</v>
      </c>
    </row>
    <row r="851" spans="9:14" x14ac:dyDescent="0.3">
      <c r="I851">
        <v>848</v>
      </c>
      <c r="J851">
        <v>2.321072595020699</v>
      </c>
      <c r="K851">
        <v>0</v>
      </c>
      <c r="L851">
        <v>0</v>
      </c>
      <c r="M851">
        <v>2.321072595020699</v>
      </c>
      <c r="N851">
        <v>1</v>
      </c>
    </row>
    <row r="852" spans="9:14" x14ac:dyDescent="0.3">
      <c r="I852">
        <v>849</v>
      </c>
      <c r="J852">
        <v>3.628348268590218</v>
      </c>
      <c r="K852">
        <v>0</v>
      </c>
      <c r="L852">
        <v>0</v>
      </c>
      <c r="M852">
        <v>3.628348268590218</v>
      </c>
      <c r="N852">
        <v>0</v>
      </c>
    </row>
    <row r="853" spans="9:14" x14ac:dyDescent="0.3">
      <c r="I853">
        <v>850</v>
      </c>
      <c r="J853">
        <v>2.9955745293981462</v>
      </c>
      <c r="K853">
        <v>0</v>
      </c>
      <c r="L853">
        <v>0</v>
      </c>
      <c r="M853">
        <v>2.9955745293981462</v>
      </c>
      <c r="N853">
        <v>1</v>
      </c>
    </row>
    <row r="854" spans="9:14" x14ac:dyDescent="0.3">
      <c r="I854">
        <v>851</v>
      </c>
      <c r="J854">
        <v>3.372036030103629</v>
      </c>
      <c r="K854">
        <v>0</v>
      </c>
      <c r="L854">
        <v>0</v>
      </c>
      <c r="M854">
        <v>3.372036030103629</v>
      </c>
      <c r="N854">
        <v>0</v>
      </c>
    </row>
    <row r="855" spans="9:14" x14ac:dyDescent="0.3">
      <c r="I855">
        <v>852</v>
      </c>
      <c r="J855">
        <v>3.3307035992448939</v>
      </c>
      <c r="K855">
        <v>0</v>
      </c>
      <c r="L855">
        <v>0</v>
      </c>
      <c r="M855">
        <v>3.3307035992448939</v>
      </c>
      <c r="N855">
        <v>0</v>
      </c>
    </row>
    <row r="856" spans="9:14" x14ac:dyDescent="0.3">
      <c r="I856">
        <v>853</v>
      </c>
      <c r="J856">
        <v>2.7094416896499971</v>
      </c>
      <c r="K856">
        <v>0</v>
      </c>
      <c r="L856">
        <v>0</v>
      </c>
      <c r="M856">
        <v>2.7094416896499971</v>
      </c>
      <c r="N856">
        <v>1</v>
      </c>
    </row>
    <row r="857" spans="9:14" x14ac:dyDescent="0.3">
      <c r="I857">
        <v>854</v>
      </c>
      <c r="J857">
        <v>2.9791219504327469</v>
      </c>
      <c r="K857">
        <v>1</v>
      </c>
      <c r="L857">
        <v>1.5215017993607201</v>
      </c>
      <c r="M857">
        <v>4.5006237497934674</v>
      </c>
      <c r="N857">
        <v>0</v>
      </c>
    </row>
    <row r="858" spans="9:14" x14ac:dyDescent="0.3">
      <c r="I858">
        <v>855</v>
      </c>
      <c r="J858">
        <v>3.5044285046868979</v>
      </c>
      <c r="K858">
        <v>0</v>
      </c>
      <c r="L858">
        <v>0</v>
      </c>
      <c r="M858">
        <v>3.5044285046868979</v>
      </c>
      <c r="N858">
        <v>0</v>
      </c>
    </row>
    <row r="859" spans="9:14" x14ac:dyDescent="0.3">
      <c r="I859">
        <v>856</v>
      </c>
      <c r="J859">
        <v>3.0272404247053402</v>
      </c>
      <c r="K859">
        <v>0</v>
      </c>
      <c r="L859">
        <v>0</v>
      </c>
      <c r="M859">
        <v>3.0272404247053402</v>
      </c>
      <c r="N859">
        <v>0</v>
      </c>
    </row>
    <row r="860" spans="9:14" x14ac:dyDescent="0.3">
      <c r="I860">
        <v>857</v>
      </c>
      <c r="J860">
        <v>3.7671425884185741</v>
      </c>
      <c r="K860">
        <v>0</v>
      </c>
      <c r="L860">
        <v>0</v>
      </c>
      <c r="M860">
        <v>3.7671425884185741</v>
      </c>
      <c r="N860">
        <v>0</v>
      </c>
    </row>
    <row r="861" spans="9:14" x14ac:dyDescent="0.3">
      <c r="I861">
        <v>858</v>
      </c>
      <c r="J861">
        <v>2.5723052795408958</v>
      </c>
      <c r="K861">
        <v>0</v>
      </c>
      <c r="L861">
        <v>0</v>
      </c>
      <c r="M861">
        <v>2.5723052795408958</v>
      </c>
      <c r="N861">
        <v>1</v>
      </c>
    </row>
    <row r="862" spans="9:14" x14ac:dyDescent="0.3">
      <c r="I862">
        <v>859</v>
      </c>
      <c r="J862">
        <v>3.3487552245699961</v>
      </c>
      <c r="K862">
        <v>0</v>
      </c>
      <c r="L862">
        <v>0</v>
      </c>
      <c r="M862">
        <v>3.3487552245699961</v>
      </c>
      <c r="N862">
        <v>0</v>
      </c>
    </row>
    <row r="863" spans="9:14" x14ac:dyDescent="0.3">
      <c r="I863">
        <v>860</v>
      </c>
      <c r="J863">
        <v>3.2447328378178222</v>
      </c>
      <c r="K863">
        <v>0</v>
      </c>
      <c r="L863">
        <v>0</v>
      </c>
      <c r="M863">
        <v>3.2447328378178222</v>
      </c>
      <c r="N863">
        <v>0</v>
      </c>
    </row>
    <row r="864" spans="9:14" x14ac:dyDescent="0.3">
      <c r="I864">
        <v>861</v>
      </c>
      <c r="J864">
        <v>3.436227300676618</v>
      </c>
      <c r="K864">
        <v>0</v>
      </c>
      <c r="L864">
        <v>0</v>
      </c>
      <c r="M864">
        <v>3.436227300676618</v>
      </c>
      <c r="N864">
        <v>0</v>
      </c>
    </row>
    <row r="865" spans="9:14" x14ac:dyDescent="0.3">
      <c r="I865">
        <v>862</v>
      </c>
      <c r="J865">
        <v>2.7151566016511861</v>
      </c>
      <c r="K865">
        <v>1</v>
      </c>
      <c r="L865">
        <v>1.067628019497364</v>
      </c>
      <c r="M865">
        <v>3.7827846211485499</v>
      </c>
      <c r="N865">
        <v>0</v>
      </c>
    </row>
    <row r="866" spans="9:14" x14ac:dyDescent="0.3">
      <c r="I866">
        <v>863</v>
      </c>
      <c r="J866">
        <v>2.674789945349493</v>
      </c>
      <c r="K866">
        <v>0</v>
      </c>
      <c r="L866">
        <v>0</v>
      </c>
      <c r="M866">
        <v>2.674789945349493</v>
      </c>
      <c r="N866">
        <v>1</v>
      </c>
    </row>
    <row r="867" spans="9:14" x14ac:dyDescent="0.3">
      <c r="I867">
        <v>864</v>
      </c>
      <c r="J867">
        <v>2.799837341740135</v>
      </c>
      <c r="K867">
        <v>0</v>
      </c>
      <c r="L867">
        <v>0</v>
      </c>
      <c r="M867">
        <v>2.799837341740135</v>
      </c>
      <c r="N867">
        <v>1</v>
      </c>
    </row>
    <row r="868" spans="9:14" x14ac:dyDescent="0.3">
      <c r="I868">
        <v>865</v>
      </c>
      <c r="J868">
        <v>3.0933527713180888</v>
      </c>
      <c r="K868">
        <v>0</v>
      </c>
      <c r="L868">
        <v>0</v>
      </c>
      <c r="M868">
        <v>3.0933527713180888</v>
      </c>
      <c r="N868">
        <v>0</v>
      </c>
    </row>
    <row r="869" spans="9:14" x14ac:dyDescent="0.3">
      <c r="I869">
        <v>866</v>
      </c>
      <c r="J869">
        <v>3.4651849038446518</v>
      </c>
      <c r="K869">
        <v>0</v>
      </c>
      <c r="L869">
        <v>0</v>
      </c>
      <c r="M869">
        <v>3.4651849038446518</v>
      </c>
      <c r="N869">
        <v>0</v>
      </c>
    </row>
    <row r="870" spans="9:14" x14ac:dyDescent="0.3">
      <c r="I870">
        <v>867</v>
      </c>
      <c r="J870">
        <v>3.0266739716065798</v>
      </c>
      <c r="K870">
        <v>0</v>
      </c>
      <c r="L870">
        <v>0</v>
      </c>
      <c r="M870">
        <v>3.0266739716065798</v>
      </c>
      <c r="N870">
        <v>0</v>
      </c>
    </row>
    <row r="871" spans="9:14" x14ac:dyDescent="0.3">
      <c r="I871">
        <v>868</v>
      </c>
      <c r="J871">
        <v>3.6897121209054569</v>
      </c>
      <c r="K871">
        <v>0</v>
      </c>
      <c r="L871">
        <v>0</v>
      </c>
      <c r="M871">
        <v>3.6897121209054569</v>
      </c>
      <c r="N871">
        <v>0</v>
      </c>
    </row>
    <row r="872" spans="9:14" x14ac:dyDescent="0.3">
      <c r="I872">
        <v>869</v>
      </c>
      <c r="J872">
        <v>3.0671768260480801</v>
      </c>
      <c r="K872">
        <v>0</v>
      </c>
      <c r="L872">
        <v>0</v>
      </c>
      <c r="M872">
        <v>3.0671768260480801</v>
      </c>
      <c r="N872">
        <v>0</v>
      </c>
    </row>
    <row r="873" spans="9:14" x14ac:dyDescent="0.3">
      <c r="I873">
        <v>870</v>
      </c>
      <c r="J873">
        <v>2.7120177427804588</v>
      </c>
      <c r="K873">
        <v>0</v>
      </c>
      <c r="L873">
        <v>0</v>
      </c>
      <c r="M873">
        <v>2.7120177427804588</v>
      </c>
      <c r="N873">
        <v>1</v>
      </c>
    </row>
    <row r="874" spans="9:14" x14ac:dyDescent="0.3">
      <c r="I874">
        <v>871</v>
      </c>
      <c r="J874">
        <v>3.097936608593554</v>
      </c>
      <c r="K874">
        <v>0</v>
      </c>
      <c r="L874">
        <v>0</v>
      </c>
      <c r="M874">
        <v>3.097936608593554</v>
      </c>
      <c r="N874">
        <v>0</v>
      </c>
    </row>
    <row r="875" spans="9:14" x14ac:dyDescent="0.3">
      <c r="I875">
        <v>872</v>
      </c>
      <c r="J875">
        <v>2.7700678336812139</v>
      </c>
      <c r="K875">
        <v>0</v>
      </c>
      <c r="L875">
        <v>0</v>
      </c>
      <c r="M875">
        <v>2.7700678336812139</v>
      </c>
      <c r="N875">
        <v>1</v>
      </c>
    </row>
    <row r="876" spans="9:14" x14ac:dyDescent="0.3">
      <c r="I876">
        <v>873</v>
      </c>
      <c r="J876">
        <v>3.3258360081014748</v>
      </c>
      <c r="K876">
        <v>0</v>
      </c>
      <c r="L876">
        <v>0</v>
      </c>
      <c r="M876">
        <v>3.3258360081014748</v>
      </c>
      <c r="N876">
        <v>0</v>
      </c>
    </row>
    <row r="877" spans="9:14" x14ac:dyDescent="0.3">
      <c r="I877">
        <v>874</v>
      </c>
      <c r="J877">
        <v>3.2705316908632889</v>
      </c>
      <c r="K877">
        <v>1</v>
      </c>
      <c r="L877">
        <v>1.2842499735187889</v>
      </c>
      <c r="M877">
        <v>4.5547816643820784</v>
      </c>
      <c r="N877">
        <v>0</v>
      </c>
    </row>
    <row r="878" spans="9:14" x14ac:dyDescent="0.3">
      <c r="I878">
        <v>875</v>
      </c>
      <c r="J878">
        <v>2.7826179573903431</v>
      </c>
      <c r="K878">
        <v>0</v>
      </c>
      <c r="L878">
        <v>0</v>
      </c>
      <c r="M878">
        <v>2.7826179573903431</v>
      </c>
      <c r="N878">
        <v>1</v>
      </c>
    </row>
    <row r="879" spans="9:14" x14ac:dyDescent="0.3">
      <c r="I879">
        <v>876</v>
      </c>
      <c r="J879">
        <v>3.6917002979196392</v>
      </c>
      <c r="K879">
        <v>0</v>
      </c>
      <c r="L879">
        <v>0</v>
      </c>
      <c r="M879">
        <v>3.6917002979196392</v>
      </c>
      <c r="N879">
        <v>0</v>
      </c>
    </row>
    <row r="880" spans="9:14" x14ac:dyDescent="0.3">
      <c r="I880">
        <v>877</v>
      </c>
      <c r="J880">
        <v>2.6714592690364349</v>
      </c>
      <c r="K880">
        <v>0</v>
      </c>
      <c r="L880">
        <v>0</v>
      </c>
      <c r="M880">
        <v>2.6714592690364349</v>
      </c>
      <c r="N880">
        <v>1</v>
      </c>
    </row>
    <row r="881" spans="9:14" x14ac:dyDescent="0.3">
      <c r="I881">
        <v>878</v>
      </c>
      <c r="J881">
        <v>3.1559063324400962</v>
      </c>
      <c r="K881">
        <v>0</v>
      </c>
      <c r="L881">
        <v>0</v>
      </c>
      <c r="M881">
        <v>3.1559063324400962</v>
      </c>
      <c r="N881">
        <v>0</v>
      </c>
    </row>
    <row r="882" spans="9:14" x14ac:dyDescent="0.3">
      <c r="I882">
        <v>879</v>
      </c>
      <c r="J882">
        <v>2.543255867094758</v>
      </c>
      <c r="K882">
        <v>1</v>
      </c>
      <c r="L882">
        <v>1.371619571678881</v>
      </c>
      <c r="M882">
        <v>3.9148754387736391</v>
      </c>
      <c r="N882">
        <v>0</v>
      </c>
    </row>
    <row r="883" spans="9:14" x14ac:dyDescent="0.3">
      <c r="I883">
        <v>880</v>
      </c>
      <c r="J883">
        <v>3.5521875629463522</v>
      </c>
      <c r="K883">
        <v>0</v>
      </c>
      <c r="L883">
        <v>0</v>
      </c>
      <c r="M883">
        <v>3.5521875629463522</v>
      </c>
      <c r="N883">
        <v>0</v>
      </c>
    </row>
    <row r="884" spans="9:14" x14ac:dyDescent="0.3">
      <c r="I884">
        <v>881</v>
      </c>
      <c r="J884">
        <v>2.7784801325332968</v>
      </c>
      <c r="K884">
        <v>0</v>
      </c>
      <c r="L884">
        <v>0</v>
      </c>
      <c r="M884">
        <v>2.7784801325332968</v>
      </c>
      <c r="N884">
        <v>1</v>
      </c>
    </row>
    <row r="885" spans="9:14" x14ac:dyDescent="0.3">
      <c r="I885">
        <v>882</v>
      </c>
      <c r="J885">
        <v>2.7293474675456961</v>
      </c>
      <c r="K885">
        <v>0</v>
      </c>
      <c r="L885">
        <v>0</v>
      </c>
      <c r="M885">
        <v>2.7293474675456961</v>
      </c>
      <c r="N885">
        <v>1</v>
      </c>
    </row>
    <row r="886" spans="9:14" x14ac:dyDescent="0.3">
      <c r="I886">
        <v>883</v>
      </c>
      <c r="J886">
        <v>3.4828499258561161</v>
      </c>
      <c r="K886">
        <v>0</v>
      </c>
      <c r="L886">
        <v>0</v>
      </c>
      <c r="M886">
        <v>3.4828499258561161</v>
      </c>
      <c r="N886">
        <v>0</v>
      </c>
    </row>
    <row r="887" spans="9:14" x14ac:dyDescent="0.3">
      <c r="I887">
        <v>884</v>
      </c>
      <c r="J887">
        <v>3.4728531459992049</v>
      </c>
      <c r="K887">
        <v>0</v>
      </c>
      <c r="L887">
        <v>0</v>
      </c>
      <c r="M887">
        <v>3.4728531459992049</v>
      </c>
      <c r="N887">
        <v>0</v>
      </c>
    </row>
    <row r="888" spans="9:14" x14ac:dyDescent="0.3">
      <c r="I888">
        <v>885</v>
      </c>
      <c r="J888">
        <v>2.9586415161708262</v>
      </c>
      <c r="K888">
        <v>0</v>
      </c>
      <c r="L888">
        <v>0</v>
      </c>
      <c r="M888">
        <v>2.9586415161708262</v>
      </c>
      <c r="N888">
        <v>1</v>
      </c>
    </row>
    <row r="889" spans="9:14" x14ac:dyDescent="0.3">
      <c r="I889">
        <v>886</v>
      </c>
      <c r="J889">
        <v>2.9116924291108308</v>
      </c>
      <c r="K889">
        <v>0</v>
      </c>
      <c r="L889">
        <v>0</v>
      </c>
      <c r="M889">
        <v>2.9116924291108308</v>
      </c>
      <c r="N889">
        <v>1</v>
      </c>
    </row>
    <row r="890" spans="9:14" x14ac:dyDescent="0.3">
      <c r="I890">
        <v>887</v>
      </c>
      <c r="J890">
        <v>2.85756576451602</v>
      </c>
      <c r="K890">
        <v>0</v>
      </c>
      <c r="L890">
        <v>0</v>
      </c>
      <c r="M890">
        <v>2.85756576451602</v>
      </c>
      <c r="N890">
        <v>1</v>
      </c>
    </row>
    <row r="891" spans="9:14" x14ac:dyDescent="0.3">
      <c r="I891">
        <v>888</v>
      </c>
      <c r="J891">
        <v>3.165325836900434</v>
      </c>
      <c r="K891">
        <v>0</v>
      </c>
      <c r="L891">
        <v>0</v>
      </c>
      <c r="M891">
        <v>3.165325836900434</v>
      </c>
      <c r="N891">
        <v>0</v>
      </c>
    </row>
    <row r="892" spans="9:14" x14ac:dyDescent="0.3">
      <c r="I892">
        <v>889</v>
      </c>
      <c r="J892">
        <v>3.2114731794054689</v>
      </c>
      <c r="K892">
        <v>0</v>
      </c>
      <c r="L892">
        <v>0</v>
      </c>
      <c r="M892">
        <v>3.2114731794054689</v>
      </c>
      <c r="N892">
        <v>0</v>
      </c>
    </row>
    <row r="893" spans="9:14" x14ac:dyDescent="0.3">
      <c r="I893">
        <v>890</v>
      </c>
      <c r="J893">
        <v>3.620370903429762</v>
      </c>
      <c r="K893">
        <v>0</v>
      </c>
      <c r="L893">
        <v>0</v>
      </c>
      <c r="M893">
        <v>3.620370903429762</v>
      </c>
      <c r="N893">
        <v>0</v>
      </c>
    </row>
    <row r="894" spans="9:14" x14ac:dyDescent="0.3">
      <c r="I894">
        <v>891</v>
      </c>
      <c r="J894">
        <v>3.5031505996279568</v>
      </c>
      <c r="K894">
        <v>0</v>
      </c>
      <c r="L894">
        <v>0</v>
      </c>
      <c r="M894">
        <v>3.5031505996279568</v>
      </c>
      <c r="N894">
        <v>0</v>
      </c>
    </row>
    <row r="895" spans="9:14" x14ac:dyDescent="0.3">
      <c r="I895">
        <v>892</v>
      </c>
      <c r="J895">
        <v>3.4905416526513688</v>
      </c>
      <c r="K895">
        <v>1</v>
      </c>
      <c r="L895">
        <v>1.14831835704489</v>
      </c>
      <c r="M895">
        <v>4.6388600096962591</v>
      </c>
      <c r="N895">
        <v>0</v>
      </c>
    </row>
    <row r="896" spans="9:14" x14ac:dyDescent="0.3">
      <c r="I896">
        <v>893</v>
      </c>
      <c r="J896">
        <v>2.878990628305798</v>
      </c>
      <c r="K896">
        <v>0</v>
      </c>
      <c r="L896">
        <v>0</v>
      </c>
      <c r="M896">
        <v>2.878990628305798</v>
      </c>
      <c r="N896">
        <v>1</v>
      </c>
    </row>
    <row r="897" spans="9:14" x14ac:dyDescent="0.3">
      <c r="I897">
        <v>894</v>
      </c>
      <c r="J897">
        <v>2.9479265919386148</v>
      </c>
      <c r="K897">
        <v>1</v>
      </c>
      <c r="L897">
        <v>1.854482120464668</v>
      </c>
      <c r="M897">
        <v>4.8024087124032828</v>
      </c>
      <c r="N897">
        <v>0</v>
      </c>
    </row>
    <row r="898" spans="9:14" x14ac:dyDescent="0.3">
      <c r="I898">
        <v>895</v>
      </c>
      <c r="J898">
        <v>2.582650879291871</v>
      </c>
      <c r="K898">
        <v>0</v>
      </c>
      <c r="L898">
        <v>0</v>
      </c>
      <c r="M898">
        <v>2.582650879291871</v>
      </c>
      <c r="N898">
        <v>1</v>
      </c>
    </row>
    <row r="899" spans="9:14" x14ac:dyDescent="0.3">
      <c r="I899">
        <v>896</v>
      </c>
      <c r="J899">
        <v>2.397363311505202</v>
      </c>
      <c r="K899">
        <v>0</v>
      </c>
      <c r="L899">
        <v>0</v>
      </c>
      <c r="M899">
        <v>2.397363311505202</v>
      </c>
      <c r="N899">
        <v>1</v>
      </c>
    </row>
    <row r="900" spans="9:14" x14ac:dyDescent="0.3">
      <c r="I900">
        <v>897</v>
      </c>
      <c r="J900">
        <v>3.127106630558715</v>
      </c>
      <c r="K900">
        <v>0</v>
      </c>
      <c r="L900">
        <v>0</v>
      </c>
      <c r="M900">
        <v>3.127106630558715</v>
      </c>
      <c r="N900">
        <v>0</v>
      </c>
    </row>
    <row r="901" spans="9:14" x14ac:dyDescent="0.3">
      <c r="I901">
        <v>898</v>
      </c>
      <c r="J901">
        <v>2.5179470846220782</v>
      </c>
      <c r="K901">
        <v>0</v>
      </c>
      <c r="L901">
        <v>0</v>
      </c>
      <c r="M901">
        <v>2.5179470846220782</v>
      </c>
      <c r="N901">
        <v>1</v>
      </c>
    </row>
    <row r="902" spans="9:14" x14ac:dyDescent="0.3">
      <c r="I902">
        <v>899</v>
      </c>
      <c r="J902">
        <v>3.8500208283017008</v>
      </c>
      <c r="K902">
        <v>0</v>
      </c>
      <c r="L902">
        <v>0</v>
      </c>
      <c r="M902">
        <v>3.8500208283017008</v>
      </c>
      <c r="N902">
        <v>0</v>
      </c>
    </row>
    <row r="903" spans="9:14" x14ac:dyDescent="0.3">
      <c r="I903">
        <v>900</v>
      </c>
      <c r="J903">
        <v>2.689448110539713</v>
      </c>
      <c r="K903">
        <v>0</v>
      </c>
      <c r="L903">
        <v>0</v>
      </c>
      <c r="M903">
        <v>2.689448110539713</v>
      </c>
      <c r="N903">
        <v>1</v>
      </c>
    </row>
    <row r="904" spans="9:14" x14ac:dyDescent="0.3">
      <c r="I904">
        <v>901</v>
      </c>
      <c r="J904">
        <v>2.9978557012205829</v>
      </c>
      <c r="K904">
        <v>0</v>
      </c>
      <c r="L904">
        <v>0</v>
      </c>
      <c r="M904">
        <v>2.9978557012205829</v>
      </c>
      <c r="N904">
        <v>1</v>
      </c>
    </row>
    <row r="905" spans="9:14" x14ac:dyDescent="0.3">
      <c r="I905">
        <v>902</v>
      </c>
      <c r="J905">
        <v>3.5302849542779389</v>
      </c>
      <c r="K905">
        <v>0</v>
      </c>
      <c r="L905">
        <v>0</v>
      </c>
      <c r="M905">
        <v>3.5302849542779389</v>
      </c>
      <c r="N905">
        <v>0</v>
      </c>
    </row>
    <row r="906" spans="9:14" x14ac:dyDescent="0.3">
      <c r="I906">
        <v>903</v>
      </c>
      <c r="J906">
        <v>3.2088736484752012</v>
      </c>
      <c r="K906">
        <v>0</v>
      </c>
      <c r="L906">
        <v>0</v>
      </c>
      <c r="M906">
        <v>3.2088736484752012</v>
      </c>
      <c r="N906">
        <v>0</v>
      </c>
    </row>
    <row r="907" spans="9:14" x14ac:dyDescent="0.3">
      <c r="I907">
        <v>904</v>
      </c>
      <c r="J907">
        <v>3.2672961443191899</v>
      </c>
      <c r="K907">
        <v>0</v>
      </c>
      <c r="L907">
        <v>0</v>
      </c>
      <c r="M907">
        <v>3.2672961443191899</v>
      </c>
      <c r="N907">
        <v>0</v>
      </c>
    </row>
    <row r="908" spans="9:14" x14ac:dyDescent="0.3">
      <c r="I908">
        <v>905</v>
      </c>
      <c r="J908">
        <v>3.1869904542011018</v>
      </c>
      <c r="K908">
        <v>0</v>
      </c>
      <c r="L908">
        <v>0</v>
      </c>
      <c r="M908">
        <v>3.1869904542011018</v>
      </c>
      <c r="N908">
        <v>0</v>
      </c>
    </row>
    <row r="909" spans="9:14" x14ac:dyDescent="0.3">
      <c r="I909">
        <v>906</v>
      </c>
      <c r="J909">
        <v>2.7051109152813368</v>
      </c>
      <c r="K909">
        <v>0</v>
      </c>
      <c r="L909">
        <v>0</v>
      </c>
      <c r="M909">
        <v>2.7051109152813368</v>
      </c>
      <c r="N909">
        <v>1</v>
      </c>
    </row>
    <row r="910" spans="9:14" x14ac:dyDescent="0.3">
      <c r="I910">
        <v>907</v>
      </c>
      <c r="J910">
        <v>3.3974118516474339</v>
      </c>
      <c r="K910">
        <v>0</v>
      </c>
      <c r="L910">
        <v>0</v>
      </c>
      <c r="M910">
        <v>3.3974118516474339</v>
      </c>
      <c r="N910">
        <v>0</v>
      </c>
    </row>
    <row r="911" spans="9:14" x14ac:dyDescent="0.3">
      <c r="I911">
        <v>908</v>
      </c>
      <c r="J911">
        <v>2.990866215065477</v>
      </c>
      <c r="K911">
        <v>0</v>
      </c>
      <c r="L911">
        <v>0</v>
      </c>
      <c r="M911">
        <v>2.990866215065477</v>
      </c>
      <c r="N911">
        <v>1</v>
      </c>
    </row>
    <row r="912" spans="9:14" x14ac:dyDescent="0.3">
      <c r="I912">
        <v>909</v>
      </c>
      <c r="J912">
        <v>2.611377957781122</v>
      </c>
      <c r="K912">
        <v>0</v>
      </c>
      <c r="L912">
        <v>0</v>
      </c>
      <c r="M912">
        <v>2.611377957781122</v>
      </c>
      <c r="N912">
        <v>1</v>
      </c>
    </row>
    <row r="913" spans="9:14" x14ac:dyDescent="0.3">
      <c r="I913">
        <v>910</v>
      </c>
      <c r="J913">
        <v>3.2023659488142782</v>
      </c>
      <c r="K913">
        <v>0</v>
      </c>
      <c r="L913">
        <v>0</v>
      </c>
      <c r="M913">
        <v>3.2023659488142782</v>
      </c>
      <c r="N913">
        <v>0</v>
      </c>
    </row>
    <row r="914" spans="9:14" x14ac:dyDescent="0.3">
      <c r="I914">
        <v>911</v>
      </c>
      <c r="J914">
        <v>3.0997163199262379</v>
      </c>
      <c r="K914">
        <v>0</v>
      </c>
      <c r="L914">
        <v>0</v>
      </c>
      <c r="M914">
        <v>3.0997163199262379</v>
      </c>
      <c r="N914">
        <v>0</v>
      </c>
    </row>
    <row r="915" spans="9:14" x14ac:dyDescent="0.3">
      <c r="I915">
        <v>912</v>
      </c>
      <c r="J915">
        <v>3.3769064656460359</v>
      </c>
      <c r="K915">
        <v>0</v>
      </c>
      <c r="L915">
        <v>0</v>
      </c>
      <c r="M915">
        <v>3.3769064656460359</v>
      </c>
      <c r="N915">
        <v>0</v>
      </c>
    </row>
    <row r="916" spans="9:14" x14ac:dyDescent="0.3">
      <c r="I916">
        <v>913</v>
      </c>
      <c r="J916">
        <v>3.0725158877252912</v>
      </c>
      <c r="K916">
        <v>0</v>
      </c>
      <c r="L916">
        <v>0</v>
      </c>
      <c r="M916">
        <v>3.0725158877252912</v>
      </c>
      <c r="N916">
        <v>0</v>
      </c>
    </row>
    <row r="917" spans="9:14" x14ac:dyDescent="0.3">
      <c r="I917">
        <v>914</v>
      </c>
      <c r="J917">
        <v>3.068666894605891</v>
      </c>
      <c r="K917">
        <v>0</v>
      </c>
      <c r="L917">
        <v>0</v>
      </c>
      <c r="M917">
        <v>3.068666894605891</v>
      </c>
      <c r="N917">
        <v>0</v>
      </c>
    </row>
    <row r="918" spans="9:14" x14ac:dyDescent="0.3">
      <c r="I918">
        <v>915</v>
      </c>
      <c r="J918">
        <v>2.9483767329346851</v>
      </c>
      <c r="K918">
        <v>0</v>
      </c>
      <c r="L918">
        <v>0</v>
      </c>
      <c r="M918">
        <v>2.9483767329346851</v>
      </c>
      <c r="N918">
        <v>1</v>
      </c>
    </row>
    <row r="919" spans="9:14" x14ac:dyDescent="0.3">
      <c r="I919">
        <v>916</v>
      </c>
      <c r="J919">
        <v>2.5834030976999278</v>
      </c>
      <c r="K919">
        <v>0</v>
      </c>
      <c r="L919">
        <v>0</v>
      </c>
      <c r="M919">
        <v>2.5834030976999278</v>
      </c>
      <c r="N919">
        <v>1</v>
      </c>
    </row>
    <row r="920" spans="9:14" x14ac:dyDescent="0.3">
      <c r="I920">
        <v>917</v>
      </c>
      <c r="J920">
        <v>3.124819393564938</v>
      </c>
      <c r="K920">
        <v>0</v>
      </c>
      <c r="L920">
        <v>0</v>
      </c>
      <c r="M920">
        <v>3.124819393564938</v>
      </c>
      <c r="N920">
        <v>0</v>
      </c>
    </row>
    <row r="921" spans="9:14" x14ac:dyDescent="0.3">
      <c r="I921">
        <v>918</v>
      </c>
      <c r="J921">
        <v>2.9552846587595418</v>
      </c>
      <c r="K921">
        <v>1</v>
      </c>
      <c r="L921">
        <v>1.3384293040120721</v>
      </c>
      <c r="M921">
        <v>4.2937139627716139</v>
      </c>
      <c r="N921">
        <v>0</v>
      </c>
    </row>
    <row r="922" spans="9:14" x14ac:dyDescent="0.3">
      <c r="I922">
        <v>919</v>
      </c>
      <c r="J922">
        <v>3.034445401672035</v>
      </c>
      <c r="K922">
        <v>0</v>
      </c>
      <c r="L922">
        <v>0</v>
      </c>
      <c r="M922">
        <v>3.034445401672035</v>
      </c>
      <c r="N922">
        <v>0</v>
      </c>
    </row>
    <row r="923" spans="9:14" x14ac:dyDescent="0.3">
      <c r="I923">
        <v>920</v>
      </c>
      <c r="J923">
        <v>3.0025489676408492</v>
      </c>
      <c r="K923">
        <v>0</v>
      </c>
      <c r="L923">
        <v>0</v>
      </c>
      <c r="M923">
        <v>3.0025489676408492</v>
      </c>
      <c r="N923">
        <v>0</v>
      </c>
    </row>
    <row r="924" spans="9:14" x14ac:dyDescent="0.3">
      <c r="I924">
        <v>921</v>
      </c>
      <c r="J924">
        <v>3.0263151525167178</v>
      </c>
      <c r="K924">
        <v>1</v>
      </c>
      <c r="L924">
        <v>1.7216135048025329</v>
      </c>
      <c r="M924">
        <v>4.7479286573192514</v>
      </c>
      <c r="N924">
        <v>0</v>
      </c>
    </row>
    <row r="925" spans="9:14" x14ac:dyDescent="0.3">
      <c r="I925">
        <v>922</v>
      </c>
      <c r="J925">
        <v>3.207927287066191</v>
      </c>
      <c r="K925">
        <v>0</v>
      </c>
      <c r="L925">
        <v>0</v>
      </c>
      <c r="M925">
        <v>3.207927287066191</v>
      </c>
      <c r="N925">
        <v>0</v>
      </c>
    </row>
    <row r="926" spans="9:14" x14ac:dyDescent="0.3">
      <c r="I926">
        <v>923</v>
      </c>
      <c r="J926">
        <v>3.3755010414270572</v>
      </c>
      <c r="K926">
        <v>0</v>
      </c>
      <c r="L926">
        <v>0</v>
      </c>
      <c r="M926">
        <v>3.3755010414270572</v>
      </c>
      <c r="N926">
        <v>0</v>
      </c>
    </row>
    <row r="927" spans="9:14" x14ac:dyDescent="0.3">
      <c r="I927">
        <v>924</v>
      </c>
      <c r="J927">
        <v>2.9681267197598249</v>
      </c>
      <c r="K927">
        <v>0</v>
      </c>
      <c r="L927">
        <v>0</v>
      </c>
      <c r="M927">
        <v>2.9681267197598249</v>
      </c>
      <c r="N927">
        <v>1</v>
      </c>
    </row>
    <row r="928" spans="9:14" x14ac:dyDescent="0.3">
      <c r="I928">
        <v>925</v>
      </c>
      <c r="J928">
        <v>2.3734587034113361</v>
      </c>
      <c r="K928">
        <v>0</v>
      </c>
      <c r="L928">
        <v>0</v>
      </c>
      <c r="M928">
        <v>2.3734587034113361</v>
      </c>
      <c r="N928">
        <v>1</v>
      </c>
    </row>
    <row r="929" spans="9:14" x14ac:dyDescent="0.3">
      <c r="I929">
        <v>926</v>
      </c>
      <c r="J929">
        <v>3.0801168772489098</v>
      </c>
      <c r="K929">
        <v>0</v>
      </c>
      <c r="L929">
        <v>0</v>
      </c>
      <c r="M929">
        <v>3.0801168772489098</v>
      </c>
      <c r="N929">
        <v>0</v>
      </c>
    </row>
    <row r="930" spans="9:14" x14ac:dyDescent="0.3">
      <c r="I930">
        <v>927</v>
      </c>
      <c r="J930">
        <v>3.6500725932789142</v>
      </c>
      <c r="K930">
        <v>0</v>
      </c>
      <c r="L930">
        <v>0</v>
      </c>
      <c r="M930">
        <v>3.6500725932789142</v>
      </c>
      <c r="N930">
        <v>0</v>
      </c>
    </row>
    <row r="931" spans="9:14" x14ac:dyDescent="0.3">
      <c r="I931">
        <v>928</v>
      </c>
      <c r="J931">
        <v>3.3977974191905531</v>
      </c>
      <c r="K931">
        <v>0</v>
      </c>
      <c r="L931">
        <v>0</v>
      </c>
      <c r="M931">
        <v>3.3977974191905531</v>
      </c>
      <c r="N931">
        <v>0</v>
      </c>
    </row>
    <row r="932" spans="9:14" x14ac:dyDescent="0.3">
      <c r="I932">
        <v>929</v>
      </c>
      <c r="J932">
        <v>2.5080544367842288</v>
      </c>
      <c r="K932">
        <v>0</v>
      </c>
      <c r="L932">
        <v>0</v>
      </c>
      <c r="M932">
        <v>2.5080544367842288</v>
      </c>
      <c r="N932">
        <v>1</v>
      </c>
    </row>
    <row r="933" spans="9:14" x14ac:dyDescent="0.3">
      <c r="I933">
        <v>930</v>
      </c>
      <c r="J933">
        <v>3.129825691660471</v>
      </c>
      <c r="K933">
        <v>1</v>
      </c>
      <c r="L933">
        <v>1.609326904671575</v>
      </c>
      <c r="M933">
        <v>4.7391525963320458</v>
      </c>
      <c r="N933">
        <v>0</v>
      </c>
    </row>
    <row r="934" spans="9:14" x14ac:dyDescent="0.3">
      <c r="I934">
        <v>931</v>
      </c>
      <c r="J934">
        <v>2.5772082654834478</v>
      </c>
      <c r="K934">
        <v>0</v>
      </c>
      <c r="L934">
        <v>0</v>
      </c>
      <c r="M934">
        <v>2.5772082654834478</v>
      </c>
      <c r="N934">
        <v>1</v>
      </c>
    </row>
    <row r="935" spans="9:14" x14ac:dyDescent="0.3">
      <c r="I935">
        <v>932</v>
      </c>
      <c r="J935">
        <v>2.594664978400298</v>
      </c>
      <c r="K935">
        <v>0</v>
      </c>
      <c r="L935">
        <v>0</v>
      </c>
      <c r="M935">
        <v>2.594664978400298</v>
      </c>
      <c r="N935">
        <v>1</v>
      </c>
    </row>
    <row r="936" spans="9:14" x14ac:dyDescent="0.3">
      <c r="I936">
        <v>933</v>
      </c>
      <c r="J936">
        <v>2.174880717386058</v>
      </c>
      <c r="K936">
        <v>0</v>
      </c>
      <c r="L936">
        <v>0</v>
      </c>
      <c r="M936">
        <v>2.174880717386058</v>
      </c>
      <c r="N936">
        <v>1</v>
      </c>
    </row>
    <row r="937" spans="9:14" x14ac:dyDescent="0.3">
      <c r="I937">
        <v>934</v>
      </c>
      <c r="J937">
        <v>3.0264010374467749</v>
      </c>
      <c r="K937">
        <v>0</v>
      </c>
      <c r="L937">
        <v>0</v>
      </c>
      <c r="M937">
        <v>3.0264010374467749</v>
      </c>
      <c r="N937">
        <v>0</v>
      </c>
    </row>
    <row r="938" spans="9:14" x14ac:dyDescent="0.3">
      <c r="I938">
        <v>935</v>
      </c>
      <c r="J938">
        <v>3.1790040869098188</v>
      </c>
      <c r="K938">
        <v>0</v>
      </c>
      <c r="L938">
        <v>0</v>
      </c>
      <c r="M938">
        <v>3.1790040869098188</v>
      </c>
      <c r="N938">
        <v>0</v>
      </c>
    </row>
    <row r="939" spans="9:14" x14ac:dyDescent="0.3">
      <c r="I939">
        <v>936</v>
      </c>
      <c r="J939">
        <v>3.260159316410955</v>
      </c>
      <c r="K939">
        <v>0</v>
      </c>
      <c r="L939">
        <v>0</v>
      </c>
      <c r="M939">
        <v>3.260159316410955</v>
      </c>
      <c r="N939">
        <v>0</v>
      </c>
    </row>
    <row r="940" spans="9:14" x14ac:dyDescent="0.3">
      <c r="I940">
        <v>937</v>
      </c>
      <c r="J940">
        <v>3.3035694035983521</v>
      </c>
      <c r="K940">
        <v>0</v>
      </c>
      <c r="L940">
        <v>0</v>
      </c>
      <c r="M940">
        <v>3.3035694035983521</v>
      </c>
      <c r="N940">
        <v>0</v>
      </c>
    </row>
    <row r="941" spans="9:14" x14ac:dyDescent="0.3">
      <c r="I941">
        <v>938</v>
      </c>
      <c r="J941">
        <v>3.4267955804393151</v>
      </c>
      <c r="K941">
        <v>1</v>
      </c>
      <c r="L941">
        <v>1.080533581919882</v>
      </c>
      <c r="M941">
        <v>4.5073291623591967</v>
      </c>
      <c r="N941">
        <v>0</v>
      </c>
    </row>
    <row r="942" spans="9:14" x14ac:dyDescent="0.3">
      <c r="I942">
        <v>939</v>
      </c>
      <c r="J942">
        <v>2.489350782458541</v>
      </c>
      <c r="K942">
        <v>1</v>
      </c>
      <c r="L942">
        <v>1.1063922971739879</v>
      </c>
      <c r="M942">
        <v>3.5957430796325291</v>
      </c>
      <c r="N942">
        <v>0</v>
      </c>
    </row>
    <row r="943" spans="9:14" x14ac:dyDescent="0.3">
      <c r="I943">
        <v>940</v>
      </c>
      <c r="J943">
        <v>2.3347518080563749</v>
      </c>
      <c r="K943">
        <v>0</v>
      </c>
      <c r="L943">
        <v>0</v>
      </c>
      <c r="M943">
        <v>2.3347518080563749</v>
      </c>
      <c r="N943">
        <v>1</v>
      </c>
    </row>
    <row r="944" spans="9:14" x14ac:dyDescent="0.3">
      <c r="I944">
        <v>941</v>
      </c>
      <c r="J944">
        <v>2.8461409471363179</v>
      </c>
      <c r="K944">
        <v>0</v>
      </c>
      <c r="L944">
        <v>0</v>
      </c>
      <c r="M944">
        <v>2.8461409471363179</v>
      </c>
      <c r="N944">
        <v>1</v>
      </c>
    </row>
    <row r="945" spans="9:14" x14ac:dyDescent="0.3">
      <c r="I945">
        <v>942</v>
      </c>
      <c r="J945">
        <v>2.889267808711363</v>
      </c>
      <c r="K945">
        <v>0</v>
      </c>
      <c r="L945">
        <v>0</v>
      </c>
      <c r="M945">
        <v>2.889267808711363</v>
      </c>
      <c r="N945">
        <v>1</v>
      </c>
    </row>
    <row r="946" spans="9:14" x14ac:dyDescent="0.3">
      <c r="I946">
        <v>943</v>
      </c>
      <c r="J946">
        <v>3.1101462289092678</v>
      </c>
      <c r="K946">
        <v>0</v>
      </c>
      <c r="L946">
        <v>0</v>
      </c>
      <c r="M946">
        <v>3.1101462289092678</v>
      </c>
      <c r="N946">
        <v>0</v>
      </c>
    </row>
    <row r="947" spans="9:14" x14ac:dyDescent="0.3">
      <c r="I947">
        <v>944</v>
      </c>
      <c r="J947">
        <v>2.156272177829285</v>
      </c>
      <c r="K947">
        <v>0</v>
      </c>
      <c r="L947">
        <v>0</v>
      </c>
      <c r="M947">
        <v>2.156272177829285</v>
      </c>
      <c r="N947">
        <v>1</v>
      </c>
    </row>
    <row r="948" spans="9:14" x14ac:dyDescent="0.3">
      <c r="I948">
        <v>945</v>
      </c>
      <c r="J948">
        <v>2.12534128031337</v>
      </c>
      <c r="K948">
        <v>0</v>
      </c>
      <c r="L948">
        <v>0</v>
      </c>
      <c r="M948">
        <v>2.12534128031337</v>
      </c>
      <c r="N948">
        <v>1</v>
      </c>
    </row>
    <row r="949" spans="9:14" x14ac:dyDescent="0.3">
      <c r="I949">
        <v>946</v>
      </c>
      <c r="J949">
        <v>2.818583168956259</v>
      </c>
      <c r="K949">
        <v>0</v>
      </c>
      <c r="L949">
        <v>0</v>
      </c>
      <c r="M949">
        <v>2.818583168956259</v>
      </c>
      <c r="N949">
        <v>1</v>
      </c>
    </row>
    <row r="950" spans="9:14" x14ac:dyDescent="0.3">
      <c r="I950">
        <v>947</v>
      </c>
      <c r="J950">
        <v>2.3901339463643718</v>
      </c>
      <c r="K950">
        <v>0</v>
      </c>
      <c r="L950">
        <v>0</v>
      </c>
      <c r="M950">
        <v>2.3901339463643718</v>
      </c>
      <c r="N950">
        <v>1</v>
      </c>
    </row>
    <row r="951" spans="9:14" x14ac:dyDescent="0.3">
      <c r="I951">
        <v>948</v>
      </c>
      <c r="J951">
        <v>2.9017725255911868</v>
      </c>
      <c r="K951">
        <v>0</v>
      </c>
      <c r="L951">
        <v>0</v>
      </c>
      <c r="M951">
        <v>2.9017725255911868</v>
      </c>
      <c r="N951">
        <v>1</v>
      </c>
    </row>
    <row r="952" spans="9:14" x14ac:dyDescent="0.3">
      <c r="I952">
        <v>949</v>
      </c>
      <c r="J952">
        <v>2.8699889056877792</v>
      </c>
      <c r="K952">
        <v>0</v>
      </c>
      <c r="L952">
        <v>0</v>
      </c>
      <c r="M952">
        <v>2.8699889056877792</v>
      </c>
      <c r="N952">
        <v>1</v>
      </c>
    </row>
    <row r="953" spans="9:14" x14ac:dyDescent="0.3">
      <c r="I953">
        <v>950</v>
      </c>
      <c r="J953">
        <v>2.983919754261561</v>
      </c>
      <c r="K953">
        <v>0</v>
      </c>
      <c r="L953">
        <v>0</v>
      </c>
      <c r="M953">
        <v>2.983919754261561</v>
      </c>
      <c r="N953">
        <v>1</v>
      </c>
    </row>
    <row r="954" spans="9:14" x14ac:dyDescent="0.3">
      <c r="I954">
        <v>951</v>
      </c>
      <c r="J954">
        <v>3.07364806710265</v>
      </c>
      <c r="K954">
        <v>0</v>
      </c>
      <c r="L954">
        <v>0</v>
      </c>
      <c r="M954">
        <v>3.07364806710265</v>
      </c>
      <c r="N954">
        <v>0</v>
      </c>
    </row>
    <row r="955" spans="9:14" x14ac:dyDescent="0.3">
      <c r="I955">
        <v>952</v>
      </c>
      <c r="J955">
        <v>2.8804332823388248</v>
      </c>
      <c r="K955">
        <v>0</v>
      </c>
      <c r="L955">
        <v>0</v>
      </c>
      <c r="M955">
        <v>2.8804332823388248</v>
      </c>
      <c r="N955">
        <v>1</v>
      </c>
    </row>
    <row r="956" spans="9:14" x14ac:dyDescent="0.3">
      <c r="I956">
        <v>953</v>
      </c>
      <c r="J956">
        <v>3.2065690844341632</v>
      </c>
      <c r="K956">
        <v>0</v>
      </c>
      <c r="L956">
        <v>0</v>
      </c>
      <c r="M956">
        <v>3.2065690844341632</v>
      </c>
      <c r="N956">
        <v>0</v>
      </c>
    </row>
    <row r="957" spans="9:14" x14ac:dyDescent="0.3">
      <c r="I957">
        <v>954</v>
      </c>
      <c r="J957">
        <v>3.1390719533266078</v>
      </c>
      <c r="K957">
        <v>1</v>
      </c>
      <c r="L957">
        <v>1.4120035940575579</v>
      </c>
      <c r="M957">
        <v>4.5510755473841664</v>
      </c>
      <c r="N957">
        <v>0</v>
      </c>
    </row>
    <row r="958" spans="9:14" x14ac:dyDescent="0.3">
      <c r="I958">
        <v>955</v>
      </c>
      <c r="J958">
        <v>2.8528665574308141</v>
      </c>
      <c r="K958">
        <v>0</v>
      </c>
      <c r="L958">
        <v>0</v>
      </c>
      <c r="M958">
        <v>2.8528665574308141</v>
      </c>
      <c r="N958">
        <v>1</v>
      </c>
    </row>
    <row r="959" spans="9:14" x14ac:dyDescent="0.3">
      <c r="I959">
        <v>956</v>
      </c>
      <c r="J959">
        <v>3.302613087208758</v>
      </c>
      <c r="K959">
        <v>0</v>
      </c>
      <c r="L959">
        <v>0</v>
      </c>
      <c r="M959">
        <v>3.302613087208758</v>
      </c>
      <c r="N959">
        <v>0</v>
      </c>
    </row>
    <row r="960" spans="9:14" x14ac:dyDescent="0.3">
      <c r="I960">
        <v>957</v>
      </c>
      <c r="J960">
        <v>3.0638250582124811</v>
      </c>
      <c r="K960">
        <v>0</v>
      </c>
      <c r="L960">
        <v>0</v>
      </c>
      <c r="M960">
        <v>3.0638250582124811</v>
      </c>
      <c r="N960">
        <v>0</v>
      </c>
    </row>
    <row r="961" spans="9:14" x14ac:dyDescent="0.3">
      <c r="I961">
        <v>958</v>
      </c>
      <c r="J961">
        <v>3.309908096592074</v>
      </c>
      <c r="K961">
        <v>0</v>
      </c>
      <c r="L961">
        <v>0</v>
      </c>
      <c r="M961">
        <v>3.309908096592074</v>
      </c>
      <c r="N961">
        <v>0</v>
      </c>
    </row>
    <row r="962" spans="9:14" x14ac:dyDescent="0.3">
      <c r="I962">
        <v>959</v>
      </c>
      <c r="J962">
        <v>2.9148629061825519</v>
      </c>
      <c r="K962">
        <v>0</v>
      </c>
      <c r="L962">
        <v>0</v>
      </c>
      <c r="M962">
        <v>2.9148629061825519</v>
      </c>
      <c r="N962">
        <v>1</v>
      </c>
    </row>
    <row r="963" spans="9:14" x14ac:dyDescent="0.3">
      <c r="I963">
        <v>960</v>
      </c>
      <c r="J963">
        <v>2.5269684885805619</v>
      </c>
      <c r="K963">
        <v>0</v>
      </c>
      <c r="L963">
        <v>0</v>
      </c>
      <c r="M963">
        <v>2.5269684885805619</v>
      </c>
      <c r="N963">
        <v>1</v>
      </c>
    </row>
    <row r="964" spans="9:14" x14ac:dyDescent="0.3">
      <c r="I964">
        <v>961</v>
      </c>
      <c r="J964">
        <v>3.750124956742797</v>
      </c>
      <c r="K964">
        <v>1</v>
      </c>
      <c r="L964">
        <v>1.6092176387311581</v>
      </c>
      <c r="M964">
        <v>5.3593425954739544</v>
      </c>
      <c r="N964">
        <v>0</v>
      </c>
    </row>
    <row r="965" spans="9:14" x14ac:dyDescent="0.3">
      <c r="I965">
        <v>962</v>
      </c>
      <c r="J965">
        <v>2.3392591264927929</v>
      </c>
      <c r="K965">
        <v>0</v>
      </c>
      <c r="L965">
        <v>0</v>
      </c>
      <c r="M965">
        <v>2.3392591264927929</v>
      </c>
      <c r="N965">
        <v>1</v>
      </c>
    </row>
    <row r="966" spans="9:14" x14ac:dyDescent="0.3">
      <c r="I966">
        <v>963</v>
      </c>
      <c r="J966">
        <v>2.7829518264511779</v>
      </c>
      <c r="K966">
        <v>0</v>
      </c>
      <c r="L966">
        <v>0</v>
      </c>
      <c r="M966">
        <v>2.7829518264511779</v>
      </c>
      <c r="N966">
        <v>1</v>
      </c>
    </row>
    <row r="967" spans="9:14" x14ac:dyDescent="0.3">
      <c r="I967">
        <v>964</v>
      </c>
      <c r="J967">
        <v>2.7796904100712481</v>
      </c>
      <c r="K967">
        <v>0</v>
      </c>
      <c r="L967">
        <v>0</v>
      </c>
      <c r="M967">
        <v>2.7796904100712481</v>
      </c>
      <c r="N967">
        <v>1</v>
      </c>
    </row>
    <row r="968" spans="9:14" x14ac:dyDescent="0.3">
      <c r="I968">
        <v>965</v>
      </c>
      <c r="J968">
        <v>2.6139549192222322</v>
      </c>
      <c r="K968">
        <v>0</v>
      </c>
      <c r="L968">
        <v>0</v>
      </c>
      <c r="M968">
        <v>2.6139549192222322</v>
      </c>
      <c r="N968">
        <v>1</v>
      </c>
    </row>
    <row r="969" spans="9:14" x14ac:dyDescent="0.3">
      <c r="I969">
        <v>966</v>
      </c>
      <c r="J969">
        <v>2.4899438492088941</v>
      </c>
      <c r="K969">
        <v>0</v>
      </c>
      <c r="L969">
        <v>0</v>
      </c>
      <c r="M969">
        <v>2.4899438492088941</v>
      </c>
      <c r="N969">
        <v>1</v>
      </c>
    </row>
    <row r="970" spans="9:14" x14ac:dyDescent="0.3">
      <c r="I970">
        <v>967</v>
      </c>
      <c r="J970">
        <v>2.6900668182207488</v>
      </c>
      <c r="K970">
        <v>1</v>
      </c>
      <c r="L970">
        <v>1.2421667184789751</v>
      </c>
      <c r="M970">
        <v>3.9322335366997239</v>
      </c>
      <c r="N970">
        <v>0</v>
      </c>
    </row>
    <row r="971" spans="9:14" x14ac:dyDescent="0.3">
      <c r="I971">
        <v>968</v>
      </c>
      <c r="J971">
        <v>2.850560792638055</v>
      </c>
      <c r="K971">
        <v>0</v>
      </c>
      <c r="L971">
        <v>0</v>
      </c>
      <c r="M971">
        <v>2.850560792638055</v>
      </c>
      <c r="N971">
        <v>1</v>
      </c>
    </row>
    <row r="972" spans="9:14" x14ac:dyDescent="0.3">
      <c r="I972">
        <v>969</v>
      </c>
      <c r="J972">
        <v>3.088647015532771</v>
      </c>
      <c r="K972">
        <v>0</v>
      </c>
      <c r="L972">
        <v>0</v>
      </c>
      <c r="M972">
        <v>3.088647015532771</v>
      </c>
      <c r="N972">
        <v>0</v>
      </c>
    </row>
    <row r="973" spans="9:14" x14ac:dyDescent="0.3">
      <c r="I973">
        <v>970</v>
      </c>
      <c r="J973">
        <v>3.3096428011490149</v>
      </c>
      <c r="K973">
        <v>0</v>
      </c>
      <c r="L973">
        <v>0</v>
      </c>
      <c r="M973">
        <v>3.3096428011490149</v>
      </c>
      <c r="N973">
        <v>0</v>
      </c>
    </row>
    <row r="974" spans="9:14" x14ac:dyDescent="0.3">
      <c r="I974">
        <v>971</v>
      </c>
      <c r="J974">
        <v>3.2507572809559622</v>
      </c>
      <c r="K974">
        <v>0</v>
      </c>
      <c r="L974">
        <v>0</v>
      </c>
      <c r="M974">
        <v>3.2507572809559622</v>
      </c>
      <c r="N974">
        <v>0</v>
      </c>
    </row>
    <row r="975" spans="9:14" x14ac:dyDescent="0.3">
      <c r="I975">
        <v>972</v>
      </c>
      <c r="J975">
        <v>2.948326132131355</v>
      </c>
      <c r="K975">
        <v>0</v>
      </c>
      <c r="L975">
        <v>0</v>
      </c>
      <c r="M975">
        <v>2.948326132131355</v>
      </c>
      <c r="N975">
        <v>1</v>
      </c>
    </row>
    <row r="976" spans="9:14" x14ac:dyDescent="0.3">
      <c r="I976">
        <v>973</v>
      </c>
      <c r="J976">
        <v>3.0774520035880859</v>
      </c>
      <c r="K976">
        <v>0</v>
      </c>
      <c r="L976">
        <v>0</v>
      </c>
      <c r="M976">
        <v>3.0774520035880859</v>
      </c>
      <c r="N976">
        <v>0</v>
      </c>
    </row>
    <row r="977" spans="9:14" x14ac:dyDescent="0.3">
      <c r="I977">
        <v>974</v>
      </c>
      <c r="J977">
        <v>2.7478102747028741</v>
      </c>
      <c r="K977">
        <v>0</v>
      </c>
      <c r="L977">
        <v>0</v>
      </c>
      <c r="M977">
        <v>2.7478102747028741</v>
      </c>
      <c r="N977">
        <v>1</v>
      </c>
    </row>
    <row r="978" spans="9:14" x14ac:dyDescent="0.3">
      <c r="I978">
        <v>975</v>
      </c>
      <c r="J978">
        <v>2.7687045472527521</v>
      </c>
      <c r="K978">
        <v>0</v>
      </c>
      <c r="L978">
        <v>0</v>
      </c>
      <c r="M978">
        <v>2.7687045472527521</v>
      </c>
      <c r="N978">
        <v>1</v>
      </c>
    </row>
    <row r="979" spans="9:14" x14ac:dyDescent="0.3">
      <c r="I979">
        <v>976</v>
      </c>
      <c r="J979">
        <v>3.5110696167139488</v>
      </c>
      <c r="K979">
        <v>0</v>
      </c>
      <c r="L979">
        <v>0</v>
      </c>
      <c r="M979">
        <v>3.5110696167139488</v>
      </c>
      <c r="N979">
        <v>0</v>
      </c>
    </row>
    <row r="980" spans="9:14" x14ac:dyDescent="0.3">
      <c r="I980">
        <v>977</v>
      </c>
      <c r="J980">
        <v>3.1127091536551799</v>
      </c>
      <c r="K980">
        <v>0</v>
      </c>
      <c r="L980">
        <v>0</v>
      </c>
      <c r="M980">
        <v>3.1127091536551799</v>
      </c>
      <c r="N980">
        <v>0</v>
      </c>
    </row>
    <row r="981" spans="9:14" x14ac:dyDescent="0.3">
      <c r="I981">
        <v>978</v>
      </c>
      <c r="J981">
        <v>3.530623910357813</v>
      </c>
      <c r="K981">
        <v>0</v>
      </c>
      <c r="L981">
        <v>0</v>
      </c>
      <c r="M981">
        <v>3.530623910357813</v>
      </c>
      <c r="N981">
        <v>0</v>
      </c>
    </row>
    <row r="982" spans="9:14" x14ac:dyDescent="0.3">
      <c r="I982">
        <v>979</v>
      </c>
      <c r="J982">
        <v>2.9059334300723352</v>
      </c>
      <c r="K982">
        <v>0</v>
      </c>
      <c r="L982">
        <v>0</v>
      </c>
      <c r="M982">
        <v>2.9059334300723352</v>
      </c>
      <c r="N982">
        <v>1</v>
      </c>
    </row>
    <row r="983" spans="9:14" x14ac:dyDescent="0.3">
      <c r="I983">
        <v>980</v>
      </c>
      <c r="J983">
        <v>2.9521814205343948</v>
      </c>
      <c r="K983">
        <v>0</v>
      </c>
      <c r="L983">
        <v>0</v>
      </c>
      <c r="M983">
        <v>2.9521814205343948</v>
      </c>
      <c r="N983">
        <v>1</v>
      </c>
    </row>
    <row r="984" spans="9:14" x14ac:dyDescent="0.3">
      <c r="I984">
        <v>981</v>
      </c>
      <c r="J984">
        <v>2.8860662662929411</v>
      </c>
      <c r="K984">
        <v>0</v>
      </c>
      <c r="L984">
        <v>0</v>
      </c>
      <c r="M984">
        <v>2.8860662662929411</v>
      </c>
      <c r="N984">
        <v>1</v>
      </c>
    </row>
    <row r="985" spans="9:14" x14ac:dyDescent="0.3">
      <c r="I985">
        <v>982</v>
      </c>
      <c r="J985">
        <v>3.2922862209956851</v>
      </c>
      <c r="K985">
        <v>1</v>
      </c>
      <c r="L985">
        <v>1.9480215198713959</v>
      </c>
      <c r="M985">
        <v>5.2403077408670811</v>
      </c>
      <c r="N985">
        <v>0</v>
      </c>
    </row>
    <row r="986" spans="9:14" x14ac:dyDescent="0.3">
      <c r="I986">
        <v>983</v>
      </c>
      <c r="J986">
        <v>3.1256487843841692</v>
      </c>
      <c r="K986">
        <v>0</v>
      </c>
      <c r="L986">
        <v>0</v>
      </c>
      <c r="M986">
        <v>3.1256487843841692</v>
      </c>
      <c r="N986">
        <v>0</v>
      </c>
    </row>
    <row r="987" spans="9:14" x14ac:dyDescent="0.3">
      <c r="I987">
        <v>984</v>
      </c>
      <c r="J987">
        <v>3.2978973912725649</v>
      </c>
      <c r="K987">
        <v>0</v>
      </c>
      <c r="L987">
        <v>0</v>
      </c>
      <c r="M987">
        <v>3.2978973912725649</v>
      </c>
      <c r="N987">
        <v>0</v>
      </c>
    </row>
    <row r="988" spans="9:14" x14ac:dyDescent="0.3">
      <c r="I988">
        <v>985</v>
      </c>
      <c r="J988">
        <v>3.159612714186999</v>
      </c>
      <c r="K988">
        <v>1</v>
      </c>
      <c r="L988">
        <v>1.513627226842911</v>
      </c>
      <c r="M988">
        <v>4.6732399410299106</v>
      </c>
      <c r="N988">
        <v>0</v>
      </c>
    </row>
    <row r="989" spans="9:14" x14ac:dyDescent="0.3">
      <c r="I989">
        <v>986</v>
      </c>
      <c r="J989">
        <v>3.6163001436461499</v>
      </c>
      <c r="K989">
        <v>0</v>
      </c>
      <c r="L989">
        <v>0</v>
      </c>
      <c r="M989">
        <v>3.6163001436461499</v>
      </c>
      <c r="N989">
        <v>0</v>
      </c>
    </row>
    <row r="990" spans="9:14" x14ac:dyDescent="0.3">
      <c r="I990">
        <v>987</v>
      </c>
      <c r="J990">
        <v>3.0955542846135189</v>
      </c>
      <c r="K990">
        <v>0</v>
      </c>
      <c r="L990">
        <v>0</v>
      </c>
      <c r="M990">
        <v>3.0955542846135189</v>
      </c>
      <c r="N990">
        <v>0</v>
      </c>
    </row>
    <row r="991" spans="9:14" x14ac:dyDescent="0.3">
      <c r="I991">
        <v>988</v>
      </c>
      <c r="J991">
        <v>3.4447251885985182</v>
      </c>
      <c r="K991">
        <v>0</v>
      </c>
      <c r="L991">
        <v>0</v>
      </c>
      <c r="M991">
        <v>3.4447251885985182</v>
      </c>
      <c r="N991">
        <v>0</v>
      </c>
    </row>
    <row r="992" spans="9:14" x14ac:dyDescent="0.3">
      <c r="I992">
        <v>989</v>
      </c>
      <c r="J992">
        <v>2.7997446405938491</v>
      </c>
      <c r="K992">
        <v>0</v>
      </c>
      <c r="L992">
        <v>0</v>
      </c>
      <c r="M992">
        <v>2.7997446405938491</v>
      </c>
      <c r="N992">
        <v>1</v>
      </c>
    </row>
    <row r="993" spans="9:14" x14ac:dyDescent="0.3">
      <c r="I993">
        <v>990</v>
      </c>
      <c r="J993">
        <v>3.6610357623988161</v>
      </c>
      <c r="K993">
        <v>0</v>
      </c>
      <c r="L993">
        <v>0</v>
      </c>
      <c r="M993">
        <v>3.6610357623988161</v>
      </c>
      <c r="N993">
        <v>0</v>
      </c>
    </row>
    <row r="994" spans="9:14" x14ac:dyDescent="0.3">
      <c r="I994">
        <v>991</v>
      </c>
      <c r="J994">
        <v>3.461866959028487</v>
      </c>
      <c r="K994">
        <v>0</v>
      </c>
      <c r="L994">
        <v>0</v>
      </c>
      <c r="M994">
        <v>3.461866959028487</v>
      </c>
      <c r="N994">
        <v>0</v>
      </c>
    </row>
    <row r="995" spans="9:14" x14ac:dyDescent="0.3">
      <c r="I995">
        <v>992</v>
      </c>
      <c r="J995">
        <v>2.5108034917822271</v>
      </c>
      <c r="K995">
        <v>0</v>
      </c>
      <c r="L995">
        <v>0</v>
      </c>
      <c r="M995">
        <v>2.5108034917822271</v>
      </c>
      <c r="N995">
        <v>1</v>
      </c>
    </row>
    <row r="996" spans="9:14" x14ac:dyDescent="0.3">
      <c r="I996">
        <v>993</v>
      </c>
      <c r="J996">
        <v>2.8087098468285658</v>
      </c>
      <c r="K996">
        <v>0</v>
      </c>
      <c r="L996">
        <v>0</v>
      </c>
      <c r="M996">
        <v>2.8087098468285658</v>
      </c>
      <c r="N996">
        <v>1</v>
      </c>
    </row>
    <row r="997" spans="9:14" x14ac:dyDescent="0.3">
      <c r="I997">
        <v>994</v>
      </c>
      <c r="J997">
        <v>2.958898064686212</v>
      </c>
      <c r="K997">
        <v>0</v>
      </c>
      <c r="L997">
        <v>0</v>
      </c>
      <c r="M997">
        <v>2.958898064686212</v>
      </c>
      <c r="N997">
        <v>1</v>
      </c>
    </row>
    <row r="998" spans="9:14" x14ac:dyDescent="0.3">
      <c r="I998">
        <v>995</v>
      </c>
      <c r="J998">
        <v>2.5491220959363519</v>
      </c>
      <c r="K998">
        <v>0</v>
      </c>
      <c r="L998">
        <v>0</v>
      </c>
      <c r="M998">
        <v>2.5491220959363519</v>
      </c>
      <c r="N998">
        <v>1</v>
      </c>
    </row>
    <row r="999" spans="9:14" x14ac:dyDescent="0.3">
      <c r="I999">
        <v>996</v>
      </c>
      <c r="J999">
        <v>3.4576812688583289</v>
      </c>
      <c r="K999">
        <v>0</v>
      </c>
      <c r="L999">
        <v>0</v>
      </c>
      <c r="M999">
        <v>3.4576812688583289</v>
      </c>
      <c r="N999">
        <v>0</v>
      </c>
    </row>
    <row r="1000" spans="9:14" x14ac:dyDescent="0.3">
      <c r="I1000">
        <v>997</v>
      </c>
      <c r="J1000">
        <v>2.5363796425342762</v>
      </c>
      <c r="K1000">
        <v>0</v>
      </c>
      <c r="L1000">
        <v>0</v>
      </c>
      <c r="M1000">
        <v>2.5363796425342762</v>
      </c>
      <c r="N1000">
        <v>1</v>
      </c>
    </row>
    <row r="1001" spans="9:14" x14ac:dyDescent="0.3">
      <c r="I1001">
        <v>998</v>
      </c>
      <c r="J1001">
        <v>3.7959264993567681</v>
      </c>
      <c r="K1001">
        <v>0</v>
      </c>
      <c r="L1001">
        <v>0</v>
      </c>
      <c r="M1001">
        <v>3.7959264993567681</v>
      </c>
      <c r="N1001">
        <v>0</v>
      </c>
    </row>
    <row r="1002" spans="9:14" x14ac:dyDescent="0.3">
      <c r="I1002">
        <v>999</v>
      </c>
      <c r="J1002">
        <v>3.2265884204914719</v>
      </c>
      <c r="K1002">
        <v>1</v>
      </c>
      <c r="L1002">
        <v>1.505453980094732</v>
      </c>
      <c r="M1002">
        <v>4.7320424005862041</v>
      </c>
      <c r="N1002">
        <v>0</v>
      </c>
    </row>
    <row r="1003" spans="9:14" x14ac:dyDescent="0.3">
      <c r="I1003">
        <v>1000</v>
      </c>
      <c r="J1003">
        <v>3.7286606423426969</v>
      </c>
      <c r="K1003">
        <v>1</v>
      </c>
      <c r="L1003">
        <v>1.062007730629587</v>
      </c>
      <c r="M1003">
        <v>4.7906683729722843</v>
      </c>
      <c r="N100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1003"/>
  <sheetViews>
    <sheetView rightToLeft="1" workbookViewId="0"/>
  </sheetViews>
  <sheetFormatPr defaultRowHeight="14.4" x14ac:dyDescent="0.3"/>
  <cols>
    <col min="2" max="2" width="28" customWidth="1"/>
    <col min="3" max="7" width="14" customWidth="1"/>
    <col min="13" max="13" width="10" customWidth="1"/>
    <col min="14" max="18" width="14" customWidth="1"/>
  </cols>
  <sheetData>
    <row r="1" spans="2:14" x14ac:dyDescent="0.3">
      <c r="B1" t="s">
        <v>181</v>
      </c>
    </row>
    <row r="3" spans="2:14" x14ac:dyDescent="0.3">
      <c r="B3" t="s">
        <v>152</v>
      </c>
      <c r="F3" t="s">
        <v>153</v>
      </c>
      <c r="I3" t="s">
        <v>154</v>
      </c>
      <c r="J3" t="s">
        <v>155</v>
      </c>
      <c r="K3" t="s">
        <v>156</v>
      </c>
      <c r="L3" t="s">
        <v>157</v>
      </c>
      <c r="M3" t="s">
        <v>158</v>
      </c>
      <c r="N3" t="s">
        <v>159</v>
      </c>
    </row>
    <row r="4" spans="2:14" x14ac:dyDescent="0.3">
      <c r="B4" t="s">
        <v>27</v>
      </c>
      <c r="C4">
        <v>3</v>
      </c>
      <c r="F4" t="s">
        <v>160</v>
      </c>
      <c r="G4">
        <v>3.5301156697684002</v>
      </c>
      <c r="I4">
        <v>1</v>
      </c>
      <c r="J4">
        <v>3.7766594527256929</v>
      </c>
      <c r="K4">
        <v>0</v>
      </c>
      <c r="L4">
        <v>0</v>
      </c>
      <c r="M4">
        <v>3.7766594527256929</v>
      </c>
      <c r="N4">
        <v>0</v>
      </c>
    </row>
    <row r="5" spans="2:14" x14ac:dyDescent="0.3">
      <c r="B5" t="s">
        <v>161</v>
      </c>
      <c r="C5">
        <v>2</v>
      </c>
      <c r="F5" t="s">
        <v>162</v>
      </c>
      <c r="G5">
        <v>0.85842617183054526</v>
      </c>
      <c r="I5">
        <v>2</v>
      </c>
      <c r="J5">
        <v>3.2029890503867509</v>
      </c>
      <c r="K5">
        <v>0</v>
      </c>
      <c r="L5">
        <v>0</v>
      </c>
      <c r="M5">
        <v>3.2029890503867509</v>
      </c>
      <c r="N5">
        <v>0</v>
      </c>
    </row>
    <row r="6" spans="2:14" x14ac:dyDescent="0.3">
      <c r="B6" t="s">
        <v>163</v>
      </c>
      <c r="C6">
        <v>3</v>
      </c>
      <c r="F6" t="s">
        <v>164</v>
      </c>
      <c r="G6">
        <v>0.33200000000000002</v>
      </c>
      <c r="I6">
        <v>3</v>
      </c>
      <c r="J6">
        <v>2.9730980452680691</v>
      </c>
      <c r="K6">
        <v>0</v>
      </c>
      <c r="L6">
        <v>0</v>
      </c>
      <c r="M6">
        <v>2.9730980452680691</v>
      </c>
      <c r="N6">
        <v>1</v>
      </c>
    </row>
    <row r="7" spans="2:14" x14ac:dyDescent="0.3">
      <c r="B7" t="s">
        <v>165</v>
      </c>
      <c r="C7">
        <v>5</v>
      </c>
      <c r="F7" t="s">
        <v>166</v>
      </c>
      <c r="G7">
        <v>0.24317225046817351</v>
      </c>
      <c r="I7">
        <v>4</v>
      </c>
      <c r="J7">
        <v>3.9166870471936339</v>
      </c>
      <c r="K7">
        <v>0</v>
      </c>
      <c r="L7">
        <v>0</v>
      </c>
      <c r="M7">
        <v>3.9166870471936339</v>
      </c>
      <c r="N7">
        <v>0</v>
      </c>
    </row>
    <row r="8" spans="2:14" x14ac:dyDescent="0.3">
      <c r="B8" t="s">
        <v>167</v>
      </c>
      <c r="C8">
        <v>2.333333333333333</v>
      </c>
      <c r="F8" t="s">
        <v>168</v>
      </c>
      <c r="G8">
        <v>5.1561769659932137</v>
      </c>
      <c r="I8">
        <v>5</v>
      </c>
      <c r="J8">
        <v>2.729074435578617</v>
      </c>
      <c r="K8">
        <v>0</v>
      </c>
      <c r="L8">
        <v>0</v>
      </c>
      <c r="M8">
        <v>2.729074435578617</v>
      </c>
      <c r="N8">
        <v>1</v>
      </c>
    </row>
    <row r="9" spans="2:14" x14ac:dyDescent="0.3">
      <c r="B9" t="s">
        <v>169</v>
      </c>
      <c r="C9">
        <v>3.666666666666667</v>
      </c>
      <c r="F9" t="s">
        <v>170</v>
      </c>
      <c r="G9">
        <v>5.4820504446327778</v>
      </c>
      <c r="I9">
        <v>6</v>
      </c>
      <c r="J9">
        <v>2.998455186258552</v>
      </c>
      <c r="K9">
        <v>0</v>
      </c>
      <c r="L9">
        <v>0</v>
      </c>
      <c r="M9">
        <v>2.998455186258552</v>
      </c>
      <c r="N9">
        <v>1</v>
      </c>
    </row>
    <row r="10" spans="2:14" x14ac:dyDescent="0.3">
      <c r="B10" t="s">
        <v>171</v>
      </c>
      <c r="C10">
        <v>0.23300970873786411</v>
      </c>
      <c r="F10" t="s">
        <v>172</v>
      </c>
      <c r="G10">
        <v>0.32587347863956412</v>
      </c>
      <c r="I10">
        <v>7</v>
      </c>
      <c r="J10">
        <v>2.839904511063911</v>
      </c>
      <c r="K10">
        <v>0</v>
      </c>
      <c r="L10">
        <v>0</v>
      </c>
      <c r="M10">
        <v>2.839904511063911</v>
      </c>
      <c r="N10">
        <v>1</v>
      </c>
    </row>
    <row r="11" spans="2:14" x14ac:dyDescent="0.3">
      <c r="B11" t="s">
        <v>145</v>
      </c>
      <c r="C11">
        <v>1</v>
      </c>
      <c r="F11" t="s">
        <v>173</v>
      </c>
      <c r="G11">
        <v>0.71872565533107124</v>
      </c>
      <c r="I11">
        <v>8</v>
      </c>
      <c r="J11">
        <v>2.8986225806109802</v>
      </c>
      <c r="K11">
        <v>1</v>
      </c>
      <c r="L11">
        <v>1.251340656188564</v>
      </c>
      <c r="M11">
        <v>4.149963236799544</v>
      </c>
      <c r="N11">
        <v>0</v>
      </c>
    </row>
    <row r="12" spans="2:14" x14ac:dyDescent="0.3">
      <c r="B12" t="s">
        <v>146</v>
      </c>
      <c r="C12">
        <v>2</v>
      </c>
      <c r="F12" t="s">
        <v>174</v>
      </c>
      <c r="G12">
        <v>1.718725655331071</v>
      </c>
      <c r="I12">
        <v>9</v>
      </c>
      <c r="J12">
        <v>2.7532959633783061</v>
      </c>
      <c r="K12">
        <v>0</v>
      </c>
      <c r="L12">
        <v>0</v>
      </c>
      <c r="M12">
        <v>2.7532959633783061</v>
      </c>
      <c r="N12">
        <v>1</v>
      </c>
    </row>
    <row r="13" spans="2:14" x14ac:dyDescent="0.3">
      <c r="B13" t="s">
        <v>175</v>
      </c>
      <c r="C13">
        <v>1000</v>
      </c>
      <c r="F13" t="s">
        <v>176</v>
      </c>
      <c r="G13">
        <v>1.626061296224814</v>
      </c>
      <c r="I13">
        <v>10</v>
      </c>
      <c r="J13">
        <v>2.65520308497068</v>
      </c>
      <c r="K13">
        <v>0</v>
      </c>
      <c r="L13">
        <v>0</v>
      </c>
      <c r="M13">
        <v>2.65520308497068</v>
      </c>
      <c r="N13">
        <v>1</v>
      </c>
    </row>
    <row r="14" spans="2:14" x14ac:dyDescent="0.3">
      <c r="I14">
        <v>11</v>
      </c>
      <c r="J14">
        <v>3.7091078150102912</v>
      </c>
      <c r="K14">
        <v>1</v>
      </c>
      <c r="L14">
        <v>1.446422978597901</v>
      </c>
      <c r="M14">
        <v>5.1555307936081922</v>
      </c>
      <c r="N14">
        <v>0</v>
      </c>
    </row>
    <row r="15" spans="2:14" x14ac:dyDescent="0.3">
      <c r="I15">
        <v>12</v>
      </c>
      <c r="J15">
        <v>3.8048225043636998</v>
      </c>
      <c r="K15">
        <v>0</v>
      </c>
      <c r="L15">
        <v>0</v>
      </c>
      <c r="M15">
        <v>3.8048225043636998</v>
      </c>
      <c r="N15">
        <v>0</v>
      </c>
    </row>
    <row r="16" spans="2:14" x14ac:dyDescent="0.3">
      <c r="I16">
        <v>13</v>
      </c>
      <c r="J16">
        <v>2.658358145875479</v>
      </c>
      <c r="K16">
        <v>1</v>
      </c>
      <c r="L16">
        <v>1.3944143797358439</v>
      </c>
      <c r="M16">
        <v>4.0527725256113234</v>
      </c>
      <c r="N16">
        <v>0</v>
      </c>
    </row>
    <row r="17" spans="6:14" x14ac:dyDescent="0.3">
      <c r="F17" t="s">
        <v>177</v>
      </c>
      <c r="I17">
        <v>14</v>
      </c>
      <c r="J17">
        <v>3.1347477020157601</v>
      </c>
      <c r="K17">
        <v>0</v>
      </c>
      <c r="L17">
        <v>0</v>
      </c>
      <c r="M17">
        <v>3.1347477020157601</v>
      </c>
      <c r="N17">
        <v>0</v>
      </c>
    </row>
    <row r="18" spans="6:14" x14ac:dyDescent="0.3">
      <c r="F18" t="s">
        <v>178</v>
      </c>
      <c r="G18">
        <v>3.3722418137391319</v>
      </c>
      <c r="I18">
        <v>15</v>
      </c>
      <c r="J18">
        <v>2.1877869113582231</v>
      </c>
      <c r="K18">
        <v>0</v>
      </c>
      <c r="L18">
        <v>0</v>
      </c>
      <c r="M18">
        <v>2.1877869113582231</v>
      </c>
      <c r="N18">
        <v>1</v>
      </c>
    </row>
    <row r="19" spans="6:14" x14ac:dyDescent="0.3">
      <c r="F19" t="s">
        <v>179</v>
      </c>
      <c r="G19">
        <v>4.7945444210390846</v>
      </c>
      <c r="I19">
        <v>16</v>
      </c>
      <c r="J19">
        <v>2.4205921727947519</v>
      </c>
      <c r="K19">
        <v>0</v>
      </c>
      <c r="L19">
        <v>0</v>
      </c>
      <c r="M19">
        <v>2.4205921727947519</v>
      </c>
      <c r="N19">
        <v>1</v>
      </c>
    </row>
    <row r="20" spans="6:14" x14ac:dyDescent="0.3">
      <c r="F20" t="s">
        <v>180</v>
      </c>
      <c r="G20">
        <v>5.1561769659932137</v>
      </c>
      <c r="I20">
        <v>17</v>
      </c>
      <c r="J20">
        <v>2.182776887929454</v>
      </c>
      <c r="K20">
        <v>0</v>
      </c>
      <c r="L20">
        <v>0</v>
      </c>
      <c r="M20">
        <v>2.182776887929454</v>
      </c>
      <c r="N20">
        <v>1</v>
      </c>
    </row>
    <row r="21" spans="6:14" x14ac:dyDescent="0.3">
      <c r="I21">
        <v>18</v>
      </c>
      <c r="J21">
        <v>2.732703047749478</v>
      </c>
      <c r="K21">
        <v>0</v>
      </c>
      <c r="L21">
        <v>0</v>
      </c>
      <c r="M21">
        <v>2.732703047749478</v>
      </c>
      <c r="N21">
        <v>1</v>
      </c>
    </row>
    <row r="22" spans="6:14" x14ac:dyDescent="0.3">
      <c r="I22">
        <v>19</v>
      </c>
      <c r="J22">
        <v>2.9457204505203491</v>
      </c>
      <c r="K22">
        <v>0</v>
      </c>
      <c r="L22">
        <v>0</v>
      </c>
      <c r="M22">
        <v>2.9457204505203491</v>
      </c>
      <c r="N22">
        <v>1</v>
      </c>
    </row>
    <row r="23" spans="6:14" x14ac:dyDescent="0.3">
      <c r="I23">
        <v>20</v>
      </c>
      <c r="J23">
        <v>3.0145451507630909</v>
      </c>
      <c r="K23">
        <v>0</v>
      </c>
      <c r="L23">
        <v>0</v>
      </c>
      <c r="M23">
        <v>3.0145451507630909</v>
      </c>
      <c r="N23">
        <v>0</v>
      </c>
    </row>
    <row r="24" spans="6:14" x14ac:dyDescent="0.3">
      <c r="I24">
        <v>21</v>
      </c>
      <c r="J24">
        <v>3.466813194104593</v>
      </c>
      <c r="K24">
        <v>0</v>
      </c>
      <c r="L24">
        <v>0</v>
      </c>
      <c r="M24">
        <v>3.466813194104593</v>
      </c>
      <c r="N24">
        <v>0</v>
      </c>
    </row>
    <row r="25" spans="6:14" x14ac:dyDescent="0.3">
      <c r="I25">
        <v>22</v>
      </c>
      <c r="J25">
        <v>4.0481862673833504</v>
      </c>
      <c r="K25">
        <v>0</v>
      </c>
      <c r="L25">
        <v>0</v>
      </c>
      <c r="M25">
        <v>4.0481862673833504</v>
      </c>
      <c r="N25">
        <v>0</v>
      </c>
    </row>
    <row r="26" spans="6:14" x14ac:dyDescent="0.3">
      <c r="I26">
        <v>23</v>
      </c>
      <c r="J26">
        <v>3.082906185848219</v>
      </c>
      <c r="K26">
        <v>0</v>
      </c>
      <c r="L26">
        <v>0</v>
      </c>
      <c r="M26">
        <v>3.082906185848219</v>
      </c>
      <c r="N26">
        <v>0</v>
      </c>
    </row>
    <row r="27" spans="6:14" x14ac:dyDescent="0.3">
      <c r="I27">
        <v>24</v>
      </c>
      <c r="J27">
        <v>3.6409225982055231</v>
      </c>
      <c r="K27">
        <v>0</v>
      </c>
      <c r="L27">
        <v>0</v>
      </c>
      <c r="M27">
        <v>3.6409225982055231</v>
      </c>
      <c r="N27">
        <v>0</v>
      </c>
    </row>
    <row r="28" spans="6:14" x14ac:dyDescent="0.3">
      <c r="I28">
        <v>25</v>
      </c>
      <c r="J28">
        <v>3.175396396850894</v>
      </c>
      <c r="K28">
        <v>0</v>
      </c>
      <c r="L28">
        <v>0</v>
      </c>
      <c r="M28">
        <v>3.175396396850894</v>
      </c>
      <c r="N28">
        <v>0</v>
      </c>
    </row>
    <row r="29" spans="6:14" x14ac:dyDescent="0.3">
      <c r="I29">
        <v>26</v>
      </c>
      <c r="J29">
        <v>2.7178931376544782</v>
      </c>
      <c r="K29">
        <v>0</v>
      </c>
      <c r="L29">
        <v>0</v>
      </c>
      <c r="M29">
        <v>2.7178931376544782</v>
      </c>
      <c r="N29">
        <v>1</v>
      </c>
    </row>
    <row r="30" spans="6:14" x14ac:dyDescent="0.3">
      <c r="I30">
        <v>27</v>
      </c>
      <c r="J30">
        <v>3.3069100517483161</v>
      </c>
      <c r="K30">
        <v>1</v>
      </c>
      <c r="L30">
        <v>1.130617004115791</v>
      </c>
      <c r="M30">
        <v>4.4375270558641073</v>
      </c>
      <c r="N30">
        <v>0</v>
      </c>
    </row>
    <row r="31" spans="6:14" x14ac:dyDescent="0.3">
      <c r="I31">
        <v>28</v>
      </c>
      <c r="J31">
        <v>2.9447053474188718</v>
      </c>
      <c r="K31">
        <v>1</v>
      </c>
      <c r="L31">
        <v>1.5544165551422029</v>
      </c>
      <c r="M31">
        <v>4.4991219025610754</v>
      </c>
      <c r="N31">
        <v>0</v>
      </c>
    </row>
    <row r="32" spans="6:14" x14ac:dyDescent="0.3">
      <c r="I32">
        <v>29</v>
      </c>
      <c r="J32">
        <v>4.1554503574887169</v>
      </c>
      <c r="K32">
        <v>0</v>
      </c>
      <c r="L32">
        <v>0</v>
      </c>
      <c r="M32">
        <v>4.1554503574887169</v>
      </c>
      <c r="N32">
        <v>0</v>
      </c>
    </row>
    <row r="33" spans="9:14" x14ac:dyDescent="0.3">
      <c r="I33">
        <v>30</v>
      </c>
      <c r="J33">
        <v>2.8515073393432191</v>
      </c>
      <c r="K33">
        <v>1</v>
      </c>
      <c r="L33">
        <v>1.216414950815319</v>
      </c>
      <c r="M33">
        <v>4.0679222901585383</v>
      </c>
      <c r="N33">
        <v>0</v>
      </c>
    </row>
    <row r="34" spans="9:14" x14ac:dyDescent="0.3">
      <c r="I34">
        <v>31</v>
      </c>
      <c r="J34">
        <v>3.6912912086039862</v>
      </c>
      <c r="K34">
        <v>0</v>
      </c>
      <c r="L34">
        <v>0</v>
      </c>
      <c r="M34">
        <v>3.6912912086039862</v>
      </c>
      <c r="N34">
        <v>0</v>
      </c>
    </row>
    <row r="35" spans="9:14" x14ac:dyDescent="0.3">
      <c r="I35">
        <v>32</v>
      </c>
      <c r="J35">
        <v>2.7459685991689011</v>
      </c>
      <c r="K35">
        <v>1</v>
      </c>
      <c r="L35">
        <v>1.1985347503255139</v>
      </c>
      <c r="M35">
        <v>3.9445033494944148</v>
      </c>
      <c r="N35">
        <v>0</v>
      </c>
    </row>
    <row r="36" spans="9:14" x14ac:dyDescent="0.3">
      <c r="I36">
        <v>33</v>
      </c>
      <c r="J36">
        <v>3.4655230287584882</v>
      </c>
      <c r="K36">
        <v>0</v>
      </c>
      <c r="L36">
        <v>0</v>
      </c>
      <c r="M36">
        <v>3.4655230287584882</v>
      </c>
      <c r="N36">
        <v>0</v>
      </c>
    </row>
    <row r="37" spans="9:14" x14ac:dyDescent="0.3">
      <c r="I37">
        <v>34</v>
      </c>
      <c r="J37">
        <v>3.5708630779134891</v>
      </c>
      <c r="K37">
        <v>1</v>
      </c>
      <c r="L37">
        <v>1.46755235579702</v>
      </c>
      <c r="M37">
        <v>5.038415433710508</v>
      </c>
      <c r="N37">
        <v>0</v>
      </c>
    </row>
    <row r="38" spans="9:14" x14ac:dyDescent="0.3">
      <c r="I38">
        <v>35</v>
      </c>
      <c r="J38">
        <v>3.3289740222254669</v>
      </c>
      <c r="K38">
        <v>0</v>
      </c>
      <c r="L38">
        <v>0</v>
      </c>
      <c r="M38">
        <v>3.3289740222254669</v>
      </c>
      <c r="N38">
        <v>0</v>
      </c>
    </row>
    <row r="39" spans="9:14" x14ac:dyDescent="0.3">
      <c r="I39">
        <v>36</v>
      </c>
      <c r="J39">
        <v>2.662744433006869</v>
      </c>
      <c r="K39">
        <v>1</v>
      </c>
      <c r="L39">
        <v>1.9160646214403341</v>
      </c>
      <c r="M39">
        <v>4.578809054447202</v>
      </c>
      <c r="N39">
        <v>0</v>
      </c>
    </row>
    <row r="40" spans="9:14" x14ac:dyDescent="0.3">
      <c r="I40">
        <v>37</v>
      </c>
      <c r="J40">
        <v>2.9313341053556941</v>
      </c>
      <c r="K40">
        <v>1</v>
      </c>
      <c r="L40">
        <v>1.0588190252092771</v>
      </c>
      <c r="M40">
        <v>3.990153130564972</v>
      </c>
      <c r="N40">
        <v>0</v>
      </c>
    </row>
    <row r="41" spans="9:14" x14ac:dyDescent="0.3">
      <c r="I41">
        <v>38</v>
      </c>
      <c r="J41">
        <v>2.903839431044235</v>
      </c>
      <c r="K41">
        <v>0</v>
      </c>
      <c r="L41">
        <v>0</v>
      </c>
      <c r="M41">
        <v>2.903839431044235</v>
      </c>
      <c r="N41">
        <v>1</v>
      </c>
    </row>
    <row r="42" spans="9:14" x14ac:dyDescent="0.3">
      <c r="I42">
        <v>39</v>
      </c>
      <c r="J42">
        <v>3.982700945430139</v>
      </c>
      <c r="K42">
        <v>0</v>
      </c>
      <c r="L42">
        <v>0</v>
      </c>
      <c r="M42">
        <v>3.982700945430139</v>
      </c>
      <c r="N42">
        <v>0</v>
      </c>
    </row>
    <row r="43" spans="9:14" x14ac:dyDescent="0.3">
      <c r="I43">
        <v>40</v>
      </c>
      <c r="J43">
        <v>2.975726247254169</v>
      </c>
      <c r="K43">
        <v>1</v>
      </c>
      <c r="L43">
        <v>1.989874299027248</v>
      </c>
      <c r="M43">
        <v>4.9656005462814168</v>
      </c>
      <c r="N43">
        <v>0</v>
      </c>
    </row>
    <row r="44" spans="9:14" x14ac:dyDescent="0.3">
      <c r="I44">
        <v>41</v>
      </c>
      <c r="J44">
        <v>2.94049565102199</v>
      </c>
      <c r="K44">
        <v>0</v>
      </c>
      <c r="L44">
        <v>0</v>
      </c>
      <c r="M44">
        <v>2.94049565102199</v>
      </c>
      <c r="N44">
        <v>1</v>
      </c>
    </row>
    <row r="45" spans="9:14" x14ac:dyDescent="0.3">
      <c r="I45">
        <v>42</v>
      </c>
      <c r="J45">
        <v>3.3293243035107958</v>
      </c>
      <c r="K45">
        <v>0</v>
      </c>
      <c r="L45">
        <v>0</v>
      </c>
      <c r="M45">
        <v>3.3293243035107958</v>
      </c>
      <c r="N45">
        <v>0</v>
      </c>
    </row>
    <row r="46" spans="9:14" x14ac:dyDescent="0.3">
      <c r="I46">
        <v>43</v>
      </c>
      <c r="J46">
        <v>3.5220500919655802</v>
      </c>
      <c r="K46">
        <v>0</v>
      </c>
      <c r="L46">
        <v>0</v>
      </c>
      <c r="M46">
        <v>3.5220500919655802</v>
      </c>
      <c r="N46">
        <v>0</v>
      </c>
    </row>
    <row r="47" spans="9:14" x14ac:dyDescent="0.3">
      <c r="I47">
        <v>44</v>
      </c>
      <c r="J47">
        <v>3.6557377151818229</v>
      </c>
      <c r="K47">
        <v>0</v>
      </c>
      <c r="L47">
        <v>0</v>
      </c>
      <c r="M47">
        <v>3.6557377151818229</v>
      </c>
      <c r="N47">
        <v>0</v>
      </c>
    </row>
    <row r="48" spans="9:14" x14ac:dyDescent="0.3">
      <c r="I48">
        <v>45</v>
      </c>
      <c r="J48">
        <v>2.7155204839613361</v>
      </c>
      <c r="K48">
        <v>0</v>
      </c>
      <c r="L48">
        <v>0</v>
      </c>
      <c r="M48">
        <v>2.7155204839613361</v>
      </c>
      <c r="N48">
        <v>1</v>
      </c>
    </row>
    <row r="49" spans="9:14" x14ac:dyDescent="0.3">
      <c r="I49">
        <v>46</v>
      </c>
      <c r="J49">
        <v>3.6243329466581939</v>
      </c>
      <c r="K49">
        <v>0</v>
      </c>
      <c r="L49">
        <v>0</v>
      </c>
      <c r="M49">
        <v>3.6243329466581939</v>
      </c>
      <c r="N49">
        <v>0</v>
      </c>
    </row>
    <row r="50" spans="9:14" x14ac:dyDescent="0.3">
      <c r="I50">
        <v>47</v>
      </c>
      <c r="J50">
        <v>2.695133493486316</v>
      </c>
      <c r="K50">
        <v>0</v>
      </c>
      <c r="L50">
        <v>0</v>
      </c>
      <c r="M50">
        <v>2.695133493486316</v>
      </c>
      <c r="N50">
        <v>1</v>
      </c>
    </row>
    <row r="51" spans="9:14" x14ac:dyDescent="0.3">
      <c r="I51">
        <v>48</v>
      </c>
      <c r="J51">
        <v>2.987004073884449</v>
      </c>
      <c r="K51">
        <v>1</v>
      </c>
      <c r="L51">
        <v>1.4531085213261421</v>
      </c>
      <c r="M51">
        <v>4.4401125952105911</v>
      </c>
      <c r="N51">
        <v>0</v>
      </c>
    </row>
    <row r="52" spans="9:14" x14ac:dyDescent="0.3">
      <c r="I52">
        <v>49</v>
      </c>
      <c r="J52">
        <v>2.2149884598973899</v>
      </c>
      <c r="K52">
        <v>0</v>
      </c>
      <c r="L52">
        <v>0</v>
      </c>
      <c r="M52">
        <v>2.2149884598973899</v>
      </c>
      <c r="N52">
        <v>1</v>
      </c>
    </row>
    <row r="53" spans="9:14" x14ac:dyDescent="0.3">
      <c r="I53">
        <v>50</v>
      </c>
      <c r="J53">
        <v>3.5110061040416052</v>
      </c>
      <c r="K53">
        <v>0</v>
      </c>
      <c r="L53">
        <v>0</v>
      </c>
      <c r="M53">
        <v>3.5110061040416052</v>
      </c>
      <c r="N53">
        <v>0</v>
      </c>
    </row>
    <row r="54" spans="9:14" x14ac:dyDescent="0.3">
      <c r="I54">
        <v>51</v>
      </c>
      <c r="J54">
        <v>2.596614878082451</v>
      </c>
      <c r="K54">
        <v>0</v>
      </c>
      <c r="L54">
        <v>0</v>
      </c>
      <c r="M54">
        <v>2.596614878082451</v>
      </c>
      <c r="N54">
        <v>1</v>
      </c>
    </row>
    <row r="55" spans="9:14" x14ac:dyDescent="0.3">
      <c r="I55">
        <v>52</v>
      </c>
      <c r="J55">
        <v>3.402287684794794</v>
      </c>
      <c r="K55">
        <v>0</v>
      </c>
      <c r="L55">
        <v>0</v>
      </c>
      <c r="M55">
        <v>3.402287684794794</v>
      </c>
      <c r="N55">
        <v>0</v>
      </c>
    </row>
    <row r="56" spans="9:14" x14ac:dyDescent="0.3">
      <c r="I56">
        <v>53</v>
      </c>
      <c r="J56">
        <v>2.86889321826972</v>
      </c>
      <c r="K56">
        <v>1</v>
      </c>
      <c r="L56">
        <v>1.646087973982362</v>
      </c>
      <c r="M56">
        <v>4.5149811922520806</v>
      </c>
      <c r="N56">
        <v>0</v>
      </c>
    </row>
    <row r="57" spans="9:14" x14ac:dyDescent="0.3">
      <c r="I57">
        <v>54</v>
      </c>
      <c r="J57">
        <v>2.9499346239555981</v>
      </c>
      <c r="K57">
        <v>1</v>
      </c>
      <c r="L57">
        <v>1.3309585854238311</v>
      </c>
      <c r="M57">
        <v>4.2808932093794301</v>
      </c>
      <c r="N57">
        <v>0</v>
      </c>
    </row>
    <row r="58" spans="9:14" x14ac:dyDescent="0.3">
      <c r="I58">
        <v>55</v>
      </c>
      <c r="J58">
        <v>3.0971861477308358</v>
      </c>
      <c r="K58">
        <v>0</v>
      </c>
      <c r="L58">
        <v>0</v>
      </c>
      <c r="M58">
        <v>3.0971861477308358</v>
      </c>
      <c r="N58">
        <v>0</v>
      </c>
    </row>
    <row r="59" spans="9:14" x14ac:dyDescent="0.3">
      <c r="I59">
        <v>56</v>
      </c>
      <c r="J59">
        <v>2.3936185628302411</v>
      </c>
      <c r="K59">
        <v>1</v>
      </c>
      <c r="L59">
        <v>1.4716636780953221</v>
      </c>
      <c r="M59">
        <v>3.8652822409255632</v>
      </c>
      <c r="N59">
        <v>0</v>
      </c>
    </row>
    <row r="60" spans="9:14" x14ac:dyDescent="0.3">
      <c r="I60">
        <v>57</v>
      </c>
      <c r="J60">
        <v>2.4742026621727842</v>
      </c>
      <c r="K60">
        <v>0</v>
      </c>
      <c r="L60">
        <v>0</v>
      </c>
      <c r="M60">
        <v>2.4742026621727842</v>
      </c>
      <c r="N60">
        <v>1</v>
      </c>
    </row>
    <row r="61" spans="9:14" x14ac:dyDescent="0.3">
      <c r="I61">
        <v>58</v>
      </c>
      <c r="J61">
        <v>2.972063317829801</v>
      </c>
      <c r="K61">
        <v>0</v>
      </c>
      <c r="L61">
        <v>0</v>
      </c>
      <c r="M61">
        <v>2.972063317829801</v>
      </c>
      <c r="N61">
        <v>1</v>
      </c>
    </row>
    <row r="62" spans="9:14" x14ac:dyDescent="0.3">
      <c r="I62">
        <v>59</v>
      </c>
      <c r="J62">
        <v>2.6754477560970451</v>
      </c>
      <c r="K62">
        <v>0</v>
      </c>
      <c r="L62">
        <v>0</v>
      </c>
      <c r="M62">
        <v>2.6754477560970451</v>
      </c>
      <c r="N62">
        <v>1</v>
      </c>
    </row>
    <row r="63" spans="9:14" x14ac:dyDescent="0.3">
      <c r="I63">
        <v>60</v>
      </c>
      <c r="J63">
        <v>3.5127883762933441</v>
      </c>
      <c r="K63">
        <v>0</v>
      </c>
      <c r="L63">
        <v>0</v>
      </c>
      <c r="M63">
        <v>3.5127883762933441</v>
      </c>
      <c r="N63">
        <v>0</v>
      </c>
    </row>
    <row r="64" spans="9:14" x14ac:dyDescent="0.3">
      <c r="I64">
        <v>61</v>
      </c>
      <c r="J64">
        <v>3.319577204058938</v>
      </c>
      <c r="K64">
        <v>0</v>
      </c>
      <c r="L64">
        <v>0</v>
      </c>
      <c r="M64">
        <v>3.319577204058938</v>
      </c>
      <c r="N64">
        <v>0</v>
      </c>
    </row>
    <row r="65" spans="9:14" x14ac:dyDescent="0.3">
      <c r="I65">
        <v>62</v>
      </c>
      <c r="J65">
        <v>2.8632400331629362</v>
      </c>
      <c r="K65">
        <v>0</v>
      </c>
      <c r="L65">
        <v>0</v>
      </c>
      <c r="M65">
        <v>2.8632400331629362</v>
      </c>
      <c r="N65">
        <v>1</v>
      </c>
    </row>
    <row r="66" spans="9:14" x14ac:dyDescent="0.3">
      <c r="I66">
        <v>63</v>
      </c>
      <c r="J66">
        <v>3.6807721513839891</v>
      </c>
      <c r="K66">
        <v>1</v>
      </c>
      <c r="L66">
        <v>1.2704198893044021</v>
      </c>
      <c r="M66">
        <v>4.9511920406883911</v>
      </c>
      <c r="N66">
        <v>0</v>
      </c>
    </row>
    <row r="67" spans="9:14" x14ac:dyDescent="0.3">
      <c r="I67">
        <v>64</v>
      </c>
      <c r="J67">
        <v>2.5298329455958188</v>
      </c>
      <c r="K67">
        <v>0</v>
      </c>
      <c r="L67">
        <v>0</v>
      </c>
      <c r="M67">
        <v>2.5298329455958188</v>
      </c>
      <c r="N67">
        <v>1</v>
      </c>
    </row>
    <row r="68" spans="9:14" x14ac:dyDescent="0.3">
      <c r="I68">
        <v>65</v>
      </c>
      <c r="J68">
        <v>3.4376334979160061</v>
      </c>
      <c r="K68">
        <v>0</v>
      </c>
      <c r="L68">
        <v>0</v>
      </c>
      <c r="M68">
        <v>3.4376334979160061</v>
      </c>
      <c r="N68">
        <v>0</v>
      </c>
    </row>
    <row r="69" spans="9:14" x14ac:dyDescent="0.3">
      <c r="I69">
        <v>66</v>
      </c>
      <c r="J69">
        <v>2.8451241460209689</v>
      </c>
      <c r="K69">
        <v>1</v>
      </c>
      <c r="L69">
        <v>1.288155742491899</v>
      </c>
      <c r="M69">
        <v>4.1332798885128677</v>
      </c>
      <c r="N69">
        <v>0</v>
      </c>
    </row>
    <row r="70" spans="9:14" x14ac:dyDescent="0.3">
      <c r="I70">
        <v>67</v>
      </c>
      <c r="J70">
        <v>2.733477413985248</v>
      </c>
      <c r="K70">
        <v>0</v>
      </c>
      <c r="L70">
        <v>0</v>
      </c>
      <c r="M70">
        <v>2.733477413985248</v>
      </c>
      <c r="N70">
        <v>1</v>
      </c>
    </row>
    <row r="71" spans="9:14" x14ac:dyDescent="0.3">
      <c r="I71">
        <v>68</v>
      </c>
      <c r="J71">
        <v>3.0326452252489529</v>
      </c>
      <c r="K71">
        <v>0</v>
      </c>
      <c r="L71">
        <v>0</v>
      </c>
      <c r="M71">
        <v>3.0326452252489529</v>
      </c>
      <c r="N71">
        <v>0</v>
      </c>
    </row>
    <row r="72" spans="9:14" x14ac:dyDescent="0.3">
      <c r="I72">
        <v>69</v>
      </c>
      <c r="J72">
        <v>3.8340496364219812</v>
      </c>
      <c r="K72">
        <v>0</v>
      </c>
      <c r="L72">
        <v>0</v>
      </c>
      <c r="M72">
        <v>3.8340496364219812</v>
      </c>
      <c r="N72">
        <v>0</v>
      </c>
    </row>
    <row r="73" spans="9:14" x14ac:dyDescent="0.3">
      <c r="I73">
        <v>70</v>
      </c>
      <c r="J73">
        <v>3.0128955268980202</v>
      </c>
      <c r="K73">
        <v>1</v>
      </c>
      <c r="L73">
        <v>1.3257535463926149</v>
      </c>
      <c r="M73">
        <v>4.3386490732906351</v>
      </c>
      <c r="N73">
        <v>0</v>
      </c>
    </row>
    <row r="74" spans="9:14" x14ac:dyDescent="0.3">
      <c r="I74">
        <v>71</v>
      </c>
      <c r="J74">
        <v>3.5508964496106938</v>
      </c>
      <c r="K74">
        <v>0</v>
      </c>
      <c r="L74">
        <v>0</v>
      </c>
      <c r="M74">
        <v>3.5508964496106938</v>
      </c>
      <c r="N74">
        <v>0</v>
      </c>
    </row>
    <row r="75" spans="9:14" x14ac:dyDescent="0.3">
      <c r="I75">
        <v>72</v>
      </c>
      <c r="J75">
        <v>3.5424273177271348</v>
      </c>
      <c r="K75">
        <v>1</v>
      </c>
      <c r="L75">
        <v>1.1247911769849901</v>
      </c>
      <c r="M75">
        <v>4.6672184947121256</v>
      </c>
      <c r="N75">
        <v>0</v>
      </c>
    </row>
    <row r="76" spans="9:14" x14ac:dyDescent="0.3">
      <c r="I76">
        <v>73</v>
      </c>
      <c r="J76">
        <v>2.7543723002033378</v>
      </c>
      <c r="K76">
        <v>0</v>
      </c>
      <c r="L76">
        <v>0</v>
      </c>
      <c r="M76">
        <v>2.7543723002033378</v>
      </c>
      <c r="N76">
        <v>1</v>
      </c>
    </row>
    <row r="77" spans="9:14" x14ac:dyDescent="0.3">
      <c r="I77">
        <v>74</v>
      </c>
      <c r="J77">
        <v>2.4192189966923801</v>
      </c>
      <c r="K77">
        <v>0</v>
      </c>
      <c r="L77">
        <v>0</v>
      </c>
      <c r="M77">
        <v>2.4192189966923801</v>
      </c>
      <c r="N77">
        <v>1</v>
      </c>
    </row>
    <row r="78" spans="9:14" x14ac:dyDescent="0.3">
      <c r="I78">
        <v>75</v>
      </c>
      <c r="J78">
        <v>4.6113880196266841</v>
      </c>
      <c r="K78">
        <v>0</v>
      </c>
      <c r="L78">
        <v>0</v>
      </c>
      <c r="M78">
        <v>4.6113880196266841</v>
      </c>
      <c r="N78">
        <v>0</v>
      </c>
    </row>
    <row r="79" spans="9:14" x14ac:dyDescent="0.3">
      <c r="I79">
        <v>76</v>
      </c>
      <c r="J79">
        <v>2.475360643755447</v>
      </c>
      <c r="K79">
        <v>0</v>
      </c>
      <c r="L79">
        <v>0</v>
      </c>
      <c r="M79">
        <v>2.475360643755447</v>
      </c>
      <c r="N79">
        <v>1</v>
      </c>
    </row>
    <row r="80" spans="9:14" x14ac:dyDescent="0.3">
      <c r="I80">
        <v>77</v>
      </c>
      <c r="J80">
        <v>2.5000291239749362</v>
      </c>
      <c r="K80">
        <v>1</v>
      </c>
      <c r="L80">
        <v>1.810586950879352</v>
      </c>
      <c r="M80">
        <v>4.3106160748542877</v>
      </c>
      <c r="N80">
        <v>0</v>
      </c>
    </row>
    <row r="81" spans="9:14" x14ac:dyDescent="0.3">
      <c r="I81">
        <v>78</v>
      </c>
      <c r="J81">
        <v>2.944087499041208</v>
      </c>
      <c r="K81">
        <v>0</v>
      </c>
      <c r="L81">
        <v>0</v>
      </c>
      <c r="M81">
        <v>2.944087499041208</v>
      </c>
      <c r="N81">
        <v>1</v>
      </c>
    </row>
    <row r="82" spans="9:14" x14ac:dyDescent="0.3">
      <c r="I82">
        <v>79</v>
      </c>
      <c r="J82">
        <v>3.5810966941913618</v>
      </c>
      <c r="K82">
        <v>0</v>
      </c>
      <c r="L82">
        <v>0</v>
      </c>
      <c r="M82">
        <v>3.5810966941913618</v>
      </c>
      <c r="N82">
        <v>0</v>
      </c>
    </row>
    <row r="83" spans="9:14" x14ac:dyDescent="0.3">
      <c r="I83">
        <v>80</v>
      </c>
      <c r="J83">
        <v>3.3398676518483699</v>
      </c>
      <c r="K83">
        <v>0</v>
      </c>
      <c r="L83">
        <v>0</v>
      </c>
      <c r="M83">
        <v>3.3398676518483699</v>
      </c>
      <c r="N83">
        <v>0</v>
      </c>
    </row>
    <row r="84" spans="9:14" x14ac:dyDescent="0.3">
      <c r="I84">
        <v>81</v>
      </c>
      <c r="J84">
        <v>3.2009519135041291</v>
      </c>
      <c r="K84">
        <v>0</v>
      </c>
      <c r="L84">
        <v>0</v>
      </c>
      <c r="M84">
        <v>3.2009519135041291</v>
      </c>
      <c r="N84">
        <v>0</v>
      </c>
    </row>
    <row r="85" spans="9:14" x14ac:dyDescent="0.3">
      <c r="I85">
        <v>82</v>
      </c>
      <c r="J85">
        <v>2.4876617305800068</v>
      </c>
      <c r="K85">
        <v>0</v>
      </c>
      <c r="L85">
        <v>0</v>
      </c>
      <c r="M85">
        <v>2.4876617305800068</v>
      </c>
      <c r="N85">
        <v>1</v>
      </c>
    </row>
    <row r="86" spans="9:14" x14ac:dyDescent="0.3">
      <c r="I86">
        <v>83</v>
      </c>
      <c r="J86">
        <v>2.90699143546043</v>
      </c>
      <c r="K86">
        <v>0</v>
      </c>
      <c r="L86">
        <v>0</v>
      </c>
      <c r="M86">
        <v>2.90699143546043</v>
      </c>
      <c r="N86">
        <v>1</v>
      </c>
    </row>
    <row r="87" spans="9:14" x14ac:dyDescent="0.3">
      <c r="I87">
        <v>84</v>
      </c>
      <c r="J87">
        <v>3.517682749170751</v>
      </c>
      <c r="K87">
        <v>0</v>
      </c>
      <c r="L87">
        <v>0</v>
      </c>
      <c r="M87">
        <v>3.517682749170751</v>
      </c>
      <c r="N87">
        <v>0</v>
      </c>
    </row>
    <row r="88" spans="9:14" x14ac:dyDescent="0.3">
      <c r="I88">
        <v>85</v>
      </c>
      <c r="J88">
        <v>3.6783424394276132</v>
      </c>
      <c r="K88">
        <v>0</v>
      </c>
      <c r="L88">
        <v>0</v>
      </c>
      <c r="M88">
        <v>3.6783424394276132</v>
      </c>
      <c r="N88">
        <v>0</v>
      </c>
    </row>
    <row r="89" spans="9:14" x14ac:dyDescent="0.3">
      <c r="I89">
        <v>86</v>
      </c>
      <c r="J89">
        <v>2.998637881538996</v>
      </c>
      <c r="K89">
        <v>0</v>
      </c>
      <c r="L89">
        <v>0</v>
      </c>
      <c r="M89">
        <v>2.998637881538996</v>
      </c>
      <c r="N89">
        <v>1</v>
      </c>
    </row>
    <row r="90" spans="9:14" x14ac:dyDescent="0.3">
      <c r="I90">
        <v>87</v>
      </c>
      <c r="J90">
        <v>2.9268448044107331</v>
      </c>
      <c r="K90">
        <v>1</v>
      </c>
      <c r="L90">
        <v>1.4309479340055109</v>
      </c>
      <c r="M90">
        <v>4.3577927384162436</v>
      </c>
      <c r="N90">
        <v>0</v>
      </c>
    </row>
    <row r="91" spans="9:14" x14ac:dyDescent="0.3">
      <c r="I91">
        <v>88</v>
      </c>
      <c r="J91">
        <v>2.95313520448842</v>
      </c>
      <c r="K91">
        <v>0</v>
      </c>
      <c r="L91">
        <v>0</v>
      </c>
      <c r="M91">
        <v>2.95313520448842</v>
      </c>
      <c r="N91">
        <v>1</v>
      </c>
    </row>
    <row r="92" spans="9:14" x14ac:dyDescent="0.3">
      <c r="I92">
        <v>89</v>
      </c>
      <c r="J92">
        <v>2.7132477165173241</v>
      </c>
      <c r="K92">
        <v>1</v>
      </c>
      <c r="L92">
        <v>1.309994498679687</v>
      </c>
      <c r="M92">
        <v>4.0232422151970111</v>
      </c>
      <c r="N92">
        <v>0</v>
      </c>
    </row>
    <row r="93" spans="9:14" x14ac:dyDescent="0.3">
      <c r="I93">
        <v>90</v>
      </c>
      <c r="J93">
        <v>2.6736151783808331</v>
      </c>
      <c r="K93">
        <v>0</v>
      </c>
      <c r="L93">
        <v>0</v>
      </c>
      <c r="M93">
        <v>2.6736151783808331</v>
      </c>
      <c r="N93">
        <v>1</v>
      </c>
    </row>
    <row r="94" spans="9:14" x14ac:dyDescent="0.3">
      <c r="I94">
        <v>91</v>
      </c>
      <c r="J94">
        <v>3.486243316697236</v>
      </c>
      <c r="K94">
        <v>1</v>
      </c>
      <c r="L94">
        <v>1.8729815585107199</v>
      </c>
      <c r="M94">
        <v>5.3592248752079552</v>
      </c>
      <c r="N94">
        <v>0</v>
      </c>
    </row>
    <row r="95" spans="9:14" x14ac:dyDescent="0.3">
      <c r="I95">
        <v>92</v>
      </c>
      <c r="J95">
        <v>3.290319644466869</v>
      </c>
      <c r="K95">
        <v>1</v>
      </c>
      <c r="L95">
        <v>1.7705031074831099</v>
      </c>
      <c r="M95">
        <v>5.0608227519499804</v>
      </c>
      <c r="N95">
        <v>0</v>
      </c>
    </row>
    <row r="96" spans="9:14" x14ac:dyDescent="0.3">
      <c r="I96">
        <v>93</v>
      </c>
      <c r="J96">
        <v>2.7526941760585282</v>
      </c>
      <c r="K96">
        <v>0</v>
      </c>
      <c r="L96">
        <v>0</v>
      </c>
      <c r="M96">
        <v>2.7526941760585282</v>
      </c>
      <c r="N96">
        <v>1</v>
      </c>
    </row>
    <row r="97" spans="9:14" x14ac:dyDescent="0.3">
      <c r="I97">
        <v>94</v>
      </c>
      <c r="J97">
        <v>2.799358650047755</v>
      </c>
      <c r="K97">
        <v>0</v>
      </c>
      <c r="L97">
        <v>0</v>
      </c>
      <c r="M97">
        <v>2.799358650047755</v>
      </c>
      <c r="N97">
        <v>1</v>
      </c>
    </row>
    <row r="98" spans="9:14" x14ac:dyDescent="0.3">
      <c r="I98">
        <v>95</v>
      </c>
      <c r="J98">
        <v>3.0655614954119219</v>
      </c>
      <c r="K98">
        <v>0</v>
      </c>
      <c r="L98">
        <v>0</v>
      </c>
      <c r="M98">
        <v>3.0655614954119219</v>
      </c>
      <c r="N98">
        <v>0</v>
      </c>
    </row>
    <row r="99" spans="9:14" x14ac:dyDescent="0.3">
      <c r="I99">
        <v>96</v>
      </c>
      <c r="J99">
        <v>3.849294712896612</v>
      </c>
      <c r="K99">
        <v>0</v>
      </c>
      <c r="L99">
        <v>0</v>
      </c>
      <c r="M99">
        <v>3.849294712896612</v>
      </c>
      <c r="N99">
        <v>0</v>
      </c>
    </row>
    <row r="100" spans="9:14" x14ac:dyDescent="0.3">
      <c r="I100">
        <v>97</v>
      </c>
      <c r="J100">
        <v>3.9366652117983159</v>
      </c>
      <c r="K100">
        <v>0</v>
      </c>
      <c r="L100">
        <v>0</v>
      </c>
      <c r="M100">
        <v>3.9366652117983159</v>
      </c>
      <c r="N100">
        <v>0</v>
      </c>
    </row>
    <row r="101" spans="9:14" x14ac:dyDescent="0.3">
      <c r="I101">
        <v>98</v>
      </c>
      <c r="J101">
        <v>2.2948820536488279</v>
      </c>
      <c r="K101">
        <v>0</v>
      </c>
      <c r="L101">
        <v>0</v>
      </c>
      <c r="M101">
        <v>2.2948820536488279</v>
      </c>
      <c r="N101">
        <v>1</v>
      </c>
    </row>
    <row r="102" spans="9:14" x14ac:dyDescent="0.3">
      <c r="I102">
        <v>99</v>
      </c>
      <c r="J102">
        <v>2.853566841508941</v>
      </c>
      <c r="K102">
        <v>0</v>
      </c>
      <c r="L102">
        <v>0</v>
      </c>
      <c r="M102">
        <v>2.853566841508941</v>
      </c>
      <c r="N102">
        <v>1</v>
      </c>
    </row>
    <row r="103" spans="9:14" x14ac:dyDescent="0.3">
      <c r="I103">
        <v>100</v>
      </c>
      <c r="J103">
        <v>4.1658706887564501</v>
      </c>
      <c r="K103">
        <v>0</v>
      </c>
      <c r="L103">
        <v>0</v>
      </c>
      <c r="M103">
        <v>4.1658706887564501</v>
      </c>
      <c r="N103">
        <v>0</v>
      </c>
    </row>
    <row r="104" spans="9:14" x14ac:dyDescent="0.3">
      <c r="I104">
        <v>101</v>
      </c>
      <c r="J104">
        <v>3.8033539525869799</v>
      </c>
      <c r="K104">
        <v>0</v>
      </c>
      <c r="L104">
        <v>0</v>
      </c>
      <c r="M104">
        <v>3.8033539525869799</v>
      </c>
      <c r="N104">
        <v>0</v>
      </c>
    </row>
    <row r="105" spans="9:14" x14ac:dyDescent="0.3">
      <c r="I105">
        <v>102</v>
      </c>
      <c r="J105">
        <v>3.3629269178797911</v>
      </c>
      <c r="K105">
        <v>0</v>
      </c>
      <c r="L105">
        <v>0</v>
      </c>
      <c r="M105">
        <v>3.3629269178797911</v>
      </c>
      <c r="N105">
        <v>0</v>
      </c>
    </row>
    <row r="106" spans="9:14" x14ac:dyDescent="0.3">
      <c r="I106">
        <v>103</v>
      </c>
      <c r="J106">
        <v>2.231861915065676</v>
      </c>
      <c r="K106">
        <v>0</v>
      </c>
      <c r="L106">
        <v>0</v>
      </c>
      <c r="M106">
        <v>2.231861915065676</v>
      </c>
      <c r="N106">
        <v>1</v>
      </c>
    </row>
    <row r="107" spans="9:14" x14ac:dyDescent="0.3">
      <c r="I107">
        <v>104</v>
      </c>
      <c r="J107">
        <v>3.8651996125084471</v>
      </c>
      <c r="K107">
        <v>0</v>
      </c>
      <c r="L107">
        <v>0</v>
      </c>
      <c r="M107">
        <v>3.8651996125084471</v>
      </c>
      <c r="N107">
        <v>0</v>
      </c>
    </row>
    <row r="108" spans="9:14" x14ac:dyDescent="0.3">
      <c r="I108">
        <v>105</v>
      </c>
      <c r="J108">
        <v>2.7998783739172382</v>
      </c>
      <c r="K108">
        <v>1</v>
      </c>
      <c r="L108">
        <v>1.9642043741859061</v>
      </c>
      <c r="M108">
        <v>4.764082748103144</v>
      </c>
      <c r="N108">
        <v>0</v>
      </c>
    </row>
    <row r="109" spans="9:14" x14ac:dyDescent="0.3">
      <c r="I109">
        <v>106</v>
      </c>
      <c r="J109">
        <v>2.996439357183371</v>
      </c>
      <c r="K109">
        <v>0</v>
      </c>
      <c r="L109">
        <v>0</v>
      </c>
      <c r="M109">
        <v>2.996439357183371</v>
      </c>
      <c r="N109">
        <v>1</v>
      </c>
    </row>
    <row r="110" spans="9:14" x14ac:dyDescent="0.3">
      <c r="I110">
        <v>107</v>
      </c>
      <c r="J110">
        <v>3.3463216606872961</v>
      </c>
      <c r="K110">
        <v>0</v>
      </c>
      <c r="L110">
        <v>0</v>
      </c>
      <c r="M110">
        <v>3.3463216606872961</v>
      </c>
      <c r="N110">
        <v>0</v>
      </c>
    </row>
    <row r="111" spans="9:14" x14ac:dyDescent="0.3">
      <c r="I111">
        <v>108</v>
      </c>
      <c r="J111">
        <v>3.319265423019389</v>
      </c>
      <c r="K111">
        <v>0</v>
      </c>
      <c r="L111">
        <v>0</v>
      </c>
      <c r="M111">
        <v>3.319265423019389</v>
      </c>
      <c r="N111">
        <v>0</v>
      </c>
    </row>
    <row r="112" spans="9:14" x14ac:dyDescent="0.3">
      <c r="I112">
        <v>109</v>
      </c>
      <c r="J112">
        <v>3.9398697822858622</v>
      </c>
      <c r="K112">
        <v>0</v>
      </c>
      <c r="L112">
        <v>0</v>
      </c>
      <c r="M112">
        <v>3.9398697822858622</v>
      </c>
      <c r="N112">
        <v>0</v>
      </c>
    </row>
    <row r="113" spans="9:14" x14ac:dyDescent="0.3">
      <c r="I113">
        <v>110</v>
      </c>
      <c r="J113">
        <v>4.1596328525549531</v>
      </c>
      <c r="K113">
        <v>0</v>
      </c>
      <c r="L113">
        <v>0</v>
      </c>
      <c r="M113">
        <v>4.1596328525549531</v>
      </c>
      <c r="N113">
        <v>0</v>
      </c>
    </row>
    <row r="114" spans="9:14" x14ac:dyDescent="0.3">
      <c r="I114">
        <v>111</v>
      </c>
      <c r="J114">
        <v>3.3628196272281579</v>
      </c>
      <c r="K114">
        <v>0</v>
      </c>
      <c r="L114">
        <v>0</v>
      </c>
      <c r="M114">
        <v>3.3628196272281579</v>
      </c>
      <c r="N114">
        <v>0</v>
      </c>
    </row>
    <row r="115" spans="9:14" x14ac:dyDescent="0.3">
      <c r="I115">
        <v>112</v>
      </c>
      <c r="J115">
        <v>3.464381756855643</v>
      </c>
      <c r="K115">
        <v>0</v>
      </c>
      <c r="L115">
        <v>0</v>
      </c>
      <c r="M115">
        <v>3.464381756855643</v>
      </c>
      <c r="N115">
        <v>0</v>
      </c>
    </row>
    <row r="116" spans="9:14" x14ac:dyDescent="0.3">
      <c r="I116">
        <v>113</v>
      </c>
      <c r="J116">
        <v>2.4412044803659709</v>
      </c>
      <c r="K116">
        <v>0</v>
      </c>
      <c r="L116">
        <v>0</v>
      </c>
      <c r="M116">
        <v>2.4412044803659709</v>
      </c>
      <c r="N116">
        <v>1</v>
      </c>
    </row>
    <row r="117" spans="9:14" x14ac:dyDescent="0.3">
      <c r="I117">
        <v>114</v>
      </c>
      <c r="J117">
        <v>2.9513887145062911</v>
      </c>
      <c r="K117">
        <v>0</v>
      </c>
      <c r="L117">
        <v>0</v>
      </c>
      <c r="M117">
        <v>2.9513887145062911</v>
      </c>
      <c r="N117">
        <v>1</v>
      </c>
    </row>
    <row r="118" spans="9:14" x14ac:dyDescent="0.3">
      <c r="I118">
        <v>115</v>
      </c>
      <c r="J118">
        <v>3.4468833720826848</v>
      </c>
      <c r="K118">
        <v>0</v>
      </c>
      <c r="L118">
        <v>0</v>
      </c>
      <c r="M118">
        <v>3.4468833720826848</v>
      </c>
      <c r="N118">
        <v>0</v>
      </c>
    </row>
    <row r="119" spans="9:14" x14ac:dyDescent="0.3">
      <c r="I119">
        <v>116</v>
      </c>
      <c r="J119">
        <v>2.2860643511207099</v>
      </c>
      <c r="K119">
        <v>0</v>
      </c>
      <c r="L119">
        <v>0</v>
      </c>
      <c r="M119">
        <v>2.2860643511207099</v>
      </c>
      <c r="N119">
        <v>1</v>
      </c>
    </row>
    <row r="120" spans="9:14" x14ac:dyDescent="0.3">
      <c r="I120">
        <v>117</v>
      </c>
      <c r="J120">
        <v>2.679333224353309</v>
      </c>
      <c r="K120">
        <v>1</v>
      </c>
      <c r="L120">
        <v>1.2099014992073009</v>
      </c>
      <c r="M120">
        <v>3.8892347235606102</v>
      </c>
      <c r="N120">
        <v>0</v>
      </c>
    </row>
    <row r="121" spans="9:14" x14ac:dyDescent="0.3">
      <c r="I121">
        <v>118</v>
      </c>
      <c r="J121">
        <v>2.6191536799951409</v>
      </c>
      <c r="K121">
        <v>0</v>
      </c>
      <c r="L121">
        <v>0</v>
      </c>
      <c r="M121">
        <v>2.6191536799951409</v>
      </c>
      <c r="N121">
        <v>1</v>
      </c>
    </row>
    <row r="122" spans="9:14" x14ac:dyDescent="0.3">
      <c r="I122">
        <v>119</v>
      </c>
      <c r="J122">
        <v>2.6702030872957532</v>
      </c>
      <c r="K122">
        <v>0</v>
      </c>
      <c r="L122">
        <v>0</v>
      </c>
      <c r="M122">
        <v>2.6702030872957532</v>
      </c>
      <c r="N122">
        <v>1</v>
      </c>
    </row>
    <row r="123" spans="9:14" x14ac:dyDescent="0.3">
      <c r="I123">
        <v>120</v>
      </c>
      <c r="J123">
        <v>3.219032219054704</v>
      </c>
      <c r="K123">
        <v>1</v>
      </c>
      <c r="L123">
        <v>1.3456896162225029</v>
      </c>
      <c r="M123">
        <v>4.564721835277207</v>
      </c>
      <c r="N123">
        <v>0</v>
      </c>
    </row>
    <row r="124" spans="9:14" x14ac:dyDescent="0.3">
      <c r="I124">
        <v>121</v>
      </c>
      <c r="J124">
        <v>3.237018027489635</v>
      </c>
      <c r="K124">
        <v>0</v>
      </c>
      <c r="L124">
        <v>0</v>
      </c>
      <c r="M124">
        <v>3.237018027489635</v>
      </c>
      <c r="N124">
        <v>0</v>
      </c>
    </row>
    <row r="125" spans="9:14" x14ac:dyDescent="0.3">
      <c r="I125">
        <v>122</v>
      </c>
      <c r="J125">
        <v>4.2533747968060984</v>
      </c>
      <c r="K125">
        <v>0</v>
      </c>
      <c r="L125">
        <v>0</v>
      </c>
      <c r="M125">
        <v>4.2533747968060984</v>
      </c>
      <c r="N125">
        <v>0</v>
      </c>
    </row>
    <row r="126" spans="9:14" x14ac:dyDescent="0.3">
      <c r="I126">
        <v>123</v>
      </c>
      <c r="J126">
        <v>3.8910671869026352</v>
      </c>
      <c r="K126">
        <v>0</v>
      </c>
      <c r="L126">
        <v>0</v>
      </c>
      <c r="M126">
        <v>3.8910671869026352</v>
      </c>
      <c r="N126">
        <v>0</v>
      </c>
    </row>
    <row r="127" spans="9:14" x14ac:dyDescent="0.3">
      <c r="I127">
        <v>124</v>
      </c>
      <c r="J127">
        <v>3.1593159167804141</v>
      </c>
      <c r="K127">
        <v>0</v>
      </c>
      <c r="L127">
        <v>0</v>
      </c>
      <c r="M127">
        <v>3.1593159167804141</v>
      </c>
      <c r="N127">
        <v>0</v>
      </c>
    </row>
    <row r="128" spans="9:14" x14ac:dyDescent="0.3">
      <c r="I128">
        <v>125</v>
      </c>
      <c r="J128">
        <v>2.7468851506383949</v>
      </c>
      <c r="K128">
        <v>1</v>
      </c>
      <c r="L128">
        <v>1.0263748484348421</v>
      </c>
      <c r="M128">
        <v>3.7732599990732369</v>
      </c>
      <c r="N128">
        <v>0</v>
      </c>
    </row>
    <row r="129" spans="9:14" x14ac:dyDescent="0.3">
      <c r="I129">
        <v>126</v>
      </c>
      <c r="J129">
        <v>3.0606552980256159</v>
      </c>
      <c r="K129">
        <v>0</v>
      </c>
      <c r="L129">
        <v>0</v>
      </c>
      <c r="M129">
        <v>3.0606552980256159</v>
      </c>
      <c r="N129">
        <v>0</v>
      </c>
    </row>
    <row r="130" spans="9:14" x14ac:dyDescent="0.3">
      <c r="I130">
        <v>127</v>
      </c>
      <c r="J130">
        <v>2.9141576014025778</v>
      </c>
      <c r="K130">
        <v>1</v>
      </c>
      <c r="L130">
        <v>1.8643612406423129</v>
      </c>
      <c r="M130">
        <v>4.7785188420448907</v>
      </c>
      <c r="N130">
        <v>0</v>
      </c>
    </row>
    <row r="131" spans="9:14" x14ac:dyDescent="0.3">
      <c r="I131">
        <v>128</v>
      </c>
      <c r="J131">
        <v>3.2459162973411062</v>
      </c>
      <c r="K131">
        <v>1</v>
      </c>
      <c r="L131">
        <v>1.8709443625624069</v>
      </c>
      <c r="M131">
        <v>5.116860659903514</v>
      </c>
      <c r="N131">
        <v>0</v>
      </c>
    </row>
    <row r="132" spans="9:14" x14ac:dyDescent="0.3">
      <c r="I132">
        <v>129</v>
      </c>
      <c r="J132">
        <v>2.862640938437925</v>
      </c>
      <c r="K132">
        <v>0</v>
      </c>
      <c r="L132">
        <v>0</v>
      </c>
      <c r="M132">
        <v>2.862640938437925</v>
      </c>
      <c r="N132">
        <v>1</v>
      </c>
    </row>
    <row r="133" spans="9:14" x14ac:dyDescent="0.3">
      <c r="I133">
        <v>130</v>
      </c>
      <c r="J133">
        <v>2.5773166771127789</v>
      </c>
      <c r="K133">
        <v>0</v>
      </c>
      <c r="L133">
        <v>0</v>
      </c>
      <c r="M133">
        <v>2.5773166771127789</v>
      </c>
      <c r="N133">
        <v>1</v>
      </c>
    </row>
    <row r="134" spans="9:14" x14ac:dyDescent="0.3">
      <c r="I134">
        <v>131</v>
      </c>
      <c r="J134">
        <v>4.1667852944488084</v>
      </c>
      <c r="K134">
        <v>0</v>
      </c>
      <c r="L134">
        <v>0</v>
      </c>
      <c r="M134">
        <v>4.1667852944488084</v>
      </c>
      <c r="N134">
        <v>0</v>
      </c>
    </row>
    <row r="135" spans="9:14" x14ac:dyDescent="0.3">
      <c r="I135">
        <v>132</v>
      </c>
      <c r="J135">
        <v>3.3019778174557848</v>
      </c>
      <c r="K135">
        <v>0</v>
      </c>
      <c r="L135">
        <v>0</v>
      </c>
      <c r="M135">
        <v>3.3019778174557848</v>
      </c>
      <c r="N135">
        <v>0</v>
      </c>
    </row>
    <row r="136" spans="9:14" x14ac:dyDescent="0.3">
      <c r="I136">
        <v>133</v>
      </c>
      <c r="J136">
        <v>4.2036039222487416</v>
      </c>
      <c r="K136">
        <v>0</v>
      </c>
      <c r="L136">
        <v>0</v>
      </c>
      <c r="M136">
        <v>4.2036039222487416</v>
      </c>
      <c r="N136">
        <v>0</v>
      </c>
    </row>
    <row r="137" spans="9:14" x14ac:dyDescent="0.3">
      <c r="I137">
        <v>134</v>
      </c>
      <c r="J137">
        <v>3.0519234857447199</v>
      </c>
      <c r="K137">
        <v>0</v>
      </c>
      <c r="L137">
        <v>0</v>
      </c>
      <c r="M137">
        <v>3.0519234857447199</v>
      </c>
      <c r="N137">
        <v>0</v>
      </c>
    </row>
    <row r="138" spans="9:14" x14ac:dyDescent="0.3">
      <c r="I138">
        <v>135</v>
      </c>
      <c r="J138">
        <v>4.14704775315262</v>
      </c>
      <c r="K138">
        <v>1</v>
      </c>
      <c r="L138">
        <v>1.595816596268478</v>
      </c>
      <c r="M138">
        <v>5.7428643494210974</v>
      </c>
      <c r="N138">
        <v>0</v>
      </c>
    </row>
    <row r="139" spans="9:14" x14ac:dyDescent="0.3">
      <c r="I139">
        <v>136</v>
      </c>
      <c r="J139">
        <v>2.7150076225120161</v>
      </c>
      <c r="K139">
        <v>0</v>
      </c>
      <c r="L139">
        <v>0</v>
      </c>
      <c r="M139">
        <v>2.7150076225120161</v>
      </c>
      <c r="N139">
        <v>1</v>
      </c>
    </row>
    <row r="140" spans="9:14" x14ac:dyDescent="0.3">
      <c r="I140">
        <v>137</v>
      </c>
      <c r="J140">
        <v>3.0600334054688521</v>
      </c>
      <c r="K140">
        <v>1</v>
      </c>
      <c r="L140">
        <v>1.085291672939108</v>
      </c>
      <c r="M140">
        <v>4.1453250784079598</v>
      </c>
      <c r="N140">
        <v>0</v>
      </c>
    </row>
    <row r="141" spans="9:14" x14ac:dyDescent="0.3">
      <c r="I141">
        <v>138</v>
      </c>
      <c r="J141">
        <v>3.306496078737462</v>
      </c>
      <c r="K141">
        <v>0</v>
      </c>
      <c r="L141">
        <v>0</v>
      </c>
      <c r="M141">
        <v>3.306496078737462</v>
      </c>
      <c r="N141">
        <v>0</v>
      </c>
    </row>
    <row r="142" spans="9:14" x14ac:dyDescent="0.3">
      <c r="I142">
        <v>139</v>
      </c>
      <c r="J142">
        <v>3.7260940088757288</v>
      </c>
      <c r="K142">
        <v>1</v>
      </c>
      <c r="L142">
        <v>1.652867555761053</v>
      </c>
      <c r="M142">
        <v>5.3789615646367821</v>
      </c>
      <c r="N142">
        <v>0</v>
      </c>
    </row>
    <row r="143" spans="9:14" x14ac:dyDescent="0.3">
      <c r="I143">
        <v>140</v>
      </c>
      <c r="J143">
        <v>3.2985179602073158</v>
      </c>
      <c r="K143">
        <v>1</v>
      </c>
      <c r="L143">
        <v>1.607988506305243</v>
      </c>
      <c r="M143">
        <v>4.9065064665125586</v>
      </c>
      <c r="N143">
        <v>0</v>
      </c>
    </row>
    <row r="144" spans="9:14" x14ac:dyDescent="0.3">
      <c r="I144">
        <v>141</v>
      </c>
      <c r="J144">
        <v>2.8638059271976171</v>
      </c>
      <c r="K144">
        <v>1</v>
      </c>
      <c r="L144">
        <v>1.5078580244862421</v>
      </c>
      <c r="M144">
        <v>4.3716639516838587</v>
      </c>
      <c r="N144">
        <v>0</v>
      </c>
    </row>
    <row r="145" spans="9:14" x14ac:dyDescent="0.3">
      <c r="I145">
        <v>142</v>
      </c>
      <c r="J145">
        <v>3.922728358671375</v>
      </c>
      <c r="K145">
        <v>0</v>
      </c>
      <c r="L145">
        <v>0</v>
      </c>
      <c r="M145">
        <v>3.922728358671375</v>
      </c>
      <c r="N145">
        <v>0</v>
      </c>
    </row>
    <row r="146" spans="9:14" x14ac:dyDescent="0.3">
      <c r="I146">
        <v>143</v>
      </c>
      <c r="J146">
        <v>3.5755478584296418</v>
      </c>
      <c r="K146">
        <v>0</v>
      </c>
      <c r="L146">
        <v>0</v>
      </c>
      <c r="M146">
        <v>3.5755478584296418</v>
      </c>
      <c r="N146">
        <v>0</v>
      </c>
    </row>
    <row r="147" spans="9:14" x14ac:dyDescent="0.3">
      <c r="I147">
        <v>144</v>
      </c>
      <c r="J147">
        <v>2.5647817572135301</v>
      </c>
      <c r="K147">
        <v>0</v>
      </c>
      <c r="L147">
        <v>0</v>
      </c>
      <c r="M147">
        <v>2.5647817572135301</v>
      </c>
      <c r="N147">
        <v>1</v>
      </c>
    </row>
    <row r="148" spans="9:14" x14ac:dyDescent="0.3">
      <c r="I148">
        <v>145</v>
      </c>
      <c r="J148">
        <v>2.813141528032078</v>
      </c>
      <c r="K148">
        <v>1</v>
      </c>
      <c r="L148">
        <v>1.738842904703044</v>
      </c>
      <c r="M148">
        <v>4.5519844327351224</v>
      </c>
      <c r="N148">
        <v>0</v>
      </c>
    </row>
    <row r="149" spans="9:14" x14ac:dyDescent="0.3">
      <c r="I149">
        <v>146</v>
      </c>
      <c r="J149">
        <v>4.0416253601864423</v>
      </c>
      <c r="K149">
        <v>0</v>
      </c>
      <c r="L149">
        <v>0</v>
      </c>
      <c r="M149">
        <v>4.0416253601864423</v>
      </c>
      <c r="N149">
        <v>0</v>
      </c>
    </row>
    <row r="150" spans="9:14" x14ac:dyDescent="0.3">
      <c r="I150">
        <v>147</v>
      </c>
      <c r="J150">
        <v>3.618727482022865</v>
      </c>
      <c r="K150">
        <v>0</v>
      </c>
      <c r="L150">
        <v>0</v>
      </c>
      <c r="M150">
        <v>3.618727482022865</v>
      </c>
      <c r="N150">
        <v>0</v>
      </c>
    </row>
    <row r="151" spans="9:14" x14ac:dyDescent="0.3">
      <c r="I151">
        <v>148</v>
      </c>
      <c r="J151">
        <v>3.1436351441178099</v>
      </c>
      <c r="K151">
        <v>0</v>
      </c>
      <c r="L151">
        <v>0</v>
      </c>
      <c r="M151">
        <v>3.1436351441178099</v>
      </c>
      <c r="N151">
        <v>0</v>
      </c>
    </row>
    <row r="152" spans="9:14" x14ac:dyDescent="0.3">
      <c r="I152">
        <v>149</v>
      </c>
      <c r="J152">
        <v>3.926791428582328</v>
      </c>
      <c r="K152">
        <v>0</v>
      </c>
      <c r="L152">
        <v>0</v>
      </c>
      <c r="M152">
        <v>3.926791428582328</v>
      </c>
      <c r="N152">
        <v>0</v>
      </c>
    </row>
    <row r="153" spans="9:14" x14ac:dyDescent="0.3">
      <c r="I153">
        <v>150</v>
      </c>
      <c r="J153">
        <v>3.078844000897146</v>
      </c>
      <c r="K153">
        <v>1</v>
      </c>
      <c r="L153">
        <v>1.342835732618743</v>
      </c>
      <c r="M153">
        <v>4.4216797335158899</v>
      </c>
      <c r="N153">
        <v>0</v>
      </c>
    </row>
    <row r="154" spans="9:14" x14ac:dyDescent="0.3">
      <c r="I154">
        <v>151</v>
      </c>
      <c r="J154">
        <v>3.9432429605192012</v>
      </c>
      <c r="K154">
        <v>0</v>
      </c>
      <c r="L154">
        <v>0</v>
      </c>
      <c r="M154">
        <v>3.9432429605192012</v>
      </c>
      <c r="N154">
        <v>0</v>
      </c>
    </row>
    <row r="155" spans="9:14" x14ac:dyDescent="0.3">
      <c r="I155">
        <v>152</v>
      </c>
      <c r="J155">
        <v>4.0337136812413892</v>
      </c>
      <c r="K155">
        <v>0</v>
      </c>
      <c r="L155">
        <v>0</v>
      </c>
      <c r="M155">
        <v>4.0337136812413892</v>
      </c>
      <c r="N155">
        <v>0</v>
      </c>
    </row>
    <row r="156" spans="9:14" x14ac:dyDescent="0.3">
      <c r="I156">
        <v>153</v>
      </c>
      <c r="J156">
        <v>3.092637242509904</v>
      </c>
      <c r="K156">
        <v>0</v>
      </c>
      <c r="L156">
        <v>0</v>
      </c>
      <c r="M156">
        <v>3.092637242509904</v>
      </c>
      <c r="N156">
        <v>0</v>
      </c>
    </row>
    <row r="157" spans="9:14" x14ac:dyDescent="0.3">
      <c r="I157">
        <v>154</v>
      </c>
      <c r="J157">
        <v>4.3889091644674902</v>
      </c>
      <c r="K157">
        <v>0</v>
      </c>
      <c r="L157">
        <v>0</v>
      </c>
      <c r="M157">
        <v>4.3889091644674902</v>
      </c>
      <c r="N157">
        <v>0</v>
      </c>
    </row>
    <row r="158" spans="9:14" x14ac:dyDescent="0.3">
      <c r="I158">
        <v>155</v>
      </c>
      <c r="J158">
        <v>2.439193535123541</v>
      </c>
      <c r="K158">
        <v>0</v>
      </c>
      <c r="L158">
        <v>0</v>
      </c>
      <c r="M158">
        <v>2.439193535123541</v>
      </c>
      <c r="N158">
        <v>1</v>
      </c>
    </row>
    <row r="159" spans="9:14" x14ac:dyDescent="0.3">
      <c r="I159">
        <v>156</v>
      </c>
      <c r="J159">
        <v>2.241317666878416</v>
      </c>
      <c r="K159">
        <v>0</v>
      </c>
      <c r="L159">
        <v>0</v>
      </c>
      <c r="M159">
        <v>2.241317666878416</v>
      </c>
      <c r="N159">
        <v>1</v>
      </c>
    </row>
    <row r="160" spans="9:14" x14ac:dyDescent="0.3">
      <c r="I160">
        <v>157</v>
      </c>
      <c r="J160">
        <v>2.7511196912633951</v>
      </c>
      <c r="K160">
        <v>0</v>
      </c>
      <c r="L160">
        <v>0</v>
      </c>
      <c r="M160">
        <v>2.7511196912633951</v>
      </c>
      <c r="N160">
        <v>1</v>
      </c>
    </row>
    <row r="161" spans="9:14" x14ac:dyDescent="0.3">
      <c r="I161">
        <v>158</v>
      </c>
      <c r="J161">
        <v>2.5859355812953391</v>
      </c>
      <c r="K161">
        <v>0</v>
      </c>
      <c r="L161">
        <v>0</v>
      </c>
      <c r="M161">
        <v>2.5859355812953391</v>
      </c>
      <c r="N161">
        <v>1</v>
      </c>
    </row>
    <row r="162" spans="9:14" x14ac:dyDescent="0.3">
      <c r="I162">
        <v>159</v>
      </c>
      <c r="J162">
        <v>2.643885720049397</v>
      </c>
      <c r="K162">
        <v>1</v>
      </c>
      <c r="L162">
        <v>1.724370766786687</v>
      </c>
      <c r="M162">
        <v>4.3682564868360831</v>
      </c>
      <c r="N162">
        <v>0</v>
      </c>
    </row>
    <row r="163" spans="9:14" x14ac:dyDescent="0.3">
      <c r="I163">
        <v>160</v>
      </c>
      <c r="J163">
        <v>2.7461282366245552</v>
      </c>
      <c r="K163">
        <v>0</v>
      </c>
      <c r="L163">
        <v>0</v>
      </c>
      <c r="M163">
        <v>2.7461282366245552</v>
      </c>
      <c r="N163">
        <v>1</v>
      </c>
    </row>
    <row r="164" spans="9:14" x14ac:dyDescent="0.3">
      <c r="I164">
        <v>161</v>
      </c>
      <c r="J164">
        <v>3.3827516937712732</v>
      </c>
      <c r="K164">
        <v>1</v>
      </c>
      <c r="L164">
        <v>1.2921677682714701</v>
      </c>
      <c r="M164">
        <v>4.6749194620427428</v>
      </c>
      <c r="N164">
        <v>0</v>
      </c>
    </row>
    <row r="165" spans="9:14" x14ac:dyDescent="0.3">
      <c r="I165">
        <v>162</v>
      </c>
      <c r="J165">
        <v>2.3492980994403352</v>
      </c>
      <c r="K165">
        <v>0</v>
      </c>
      <c r="L165">
        <v>0</v>
      </c>
      <c r="M165">
        <v>2.3492980994403352</v>
      </c>
      <c r="N165">
        <v>1</v>
      </c>
    </row>
    <row r="166" spans="9:14" x14ac:dyDescent="0.3">
      <c r="I166">
        <v>163</v>
      </c>
      <c r="J166">
        <v>2.5366093045861531</v>
      </c>
      <c r="K166">
        <v>1</v>
      </c>
      <c r="L166">
        <v>1.0276508144720069</v>
      </c>
      <c r="M166">
        <v>3.5642601190581602</v>
      </c>
      <c r="N166">
        <v>0</v>
      </c>
    </row>
    <row r="167" spans="9:14" x14ac:dyDescent="0.3">
      <c r="I167">
        <v>164</v>
      </c>
      <c r="J167">
        <v>2.960689332756941</v>
      </c>
      <c r="K167">
        <v>0</v>
      </c>
      <c r="L167">
        <v>0</v>
      </c>
      <c r="M167">
        <v>2.960689332756941</v>
      </c>
      <c r="N167">
        <v>1</v>
      </c>
    </row>
    <row r="168" spans="9:14" x14ac:dyDescent="0.3">
      <c r="I168">
        <v>165</v>
      </c>
      <c r="J168">
        <v>3.0804725930486279</v>
      </c>
      <c r="K168">
        <v>0</v>
      </c>
      <c r="L168">
        <v>0</v>
      </c>
      <c r="M168">
        <v>3.0804725930486279</v>
      </c>
      <c r="N168">
        <v>0</v>
      </c>
    </row>
    <row r="169" spans="9:14" x14ac:dyDescent="0.3">
      <c r="I169">
        <v>166</v>
      </c>
      <c r="J169">
        <v>3.6237251501072492</v>
      </c>
      <c r="K169">
        <v>1</v>
      </c>
      <c r="L169">
        <v>1.620094939435222</v>
      </c>
      <c r="M169">
        <v>5.2438200895424716</v>
      </c>
      <c r="N169">
        <v>0</v>
      </c>
    </row>
    <row r="170" spans="9:14" x14ac:dyDescent="0.3">
      <c r="I170">
        <v>167</v>
      </c>
      <c r="J170">
        <v>3.2390144368943838</v>
      </c>
      <c r="K170">
        <v>1</v>
      </c>
      <c r="L170">
        <v>1.3836205716909391</v>
      </c>
      <c r="M170">
        <v>4.6226350085853234</v>
      </c>
      <c r="N170">
        <v>0</v>
      </c>
    </row>
    <row r="171" spans="9:14" x14ac:dyDescent="0.3">
      <c r="I171">
        <v>168</v>
      </c>
      <c r="J171">
        <v>2.1419481812499659</v>
      </c>
      <c r="K171">
        <v>1</v>
      </c>
      <c r="L171">
        <v>1.4179381442592081</v>
      </c>
      <c r="M171">
        <v>3.5598863255091739</v>
      </c>
      <c r="N171">
        <v>0</v>
      </c>
    </row>
    <row r="172" spans="9:14" x14ac:dyDescent="0.3">
      <c r="I172">
        <v>169</v>
      </c>
      <c r="J172">
        <v>3.1956600161170128</v>
      </c>
      <c r="K172">
        <v>1</v>
      </c>
      <c r="L172">
        <v>1.4040318654432551</v>
      </c>
      <c r="M172">
        <v>4.5996918815602674</v>
      </c>
      <c r="N172">
        <v>0</v>
      </c>
    </row>
    <row r="173" spans="9:14" x14ac:dyDescent="0.3">
      <c r="I173">
        <v>170</v>
      </c>
      <c r="J173">
        <v>3.3608614995690722</v>
      </c>
      <c r="K173">
        <v>0</v>
      </c>
      <c r="L173">
        <v>0</v>
      </c>
      <c r="M173">
        <v>3.3608614995690722</v>
      </c>
      <c r="N173">
        <v>0</v>
      </c>
    </row>
    <row r="174" spans="9:14" x14ac:dyDescent="0.3">
      <c r="I174">
        <v>171</v>
      </c>
      <c r="J174">
        <v>3.0239605090464492</v>
      </c>
      <c r="K174">
        <v>1</v>
      </c>
      <c r="L174">
        <v>1.235780646981079</v>
      </c>
      <c r="M174">
        <v>4.2597411560275287</v>
      </c>
      <c r="N174">
        <v>0</v>
      </c>
    </row>
    <row r="175" spans="9:14" x14ac:dyDescent="0.3">
      <c r="I175">
        <v>172</v>
      </c>
      <c r="J175">
        <v>4.2844691234033441</v>
      </c>
      <c r="K175">
        <v>0</v>
      </c>
      <c r="L175">
        <v>0</v>
      </c>
      <c r="M175">
        <v>4.2844691234033441</v>
      </c>
      <c r="N175">
        <v>0</v>
      </c>
    </row>
    <row r="176" spans="9:14" x14ac:dyDescent="0.3">
      <c r="I176">
        <v>173</v>
      </c>
      <c r="J176">
        <v>3.633558877105612</v>
      </c>
      <c r="K176">
        <v>0</v>
      </c>
      <c r="L176">
        <v>0</v>
      </c>
      <c r="M176">
        <v>3.633558877105612</v>
      </c>
      <c r="N176">
        <v>0</v>
      </c>
    </row>
    <row r="177" spans="9:14" x14ac:dyDescent="0.3">
      <c r="I177">
        <v>174</v>
      </c>
      <c r="J177">
        <v>2.9982152668488409</v>
      </c>
      <c r="K177">
        <v>0</v>
      </c>
      <c r="L177">
        <v>0</v>
      </c>
      <c r="M177">
        <v>2.9982152668488409</v>
      </c>
      <c r="N177">
        <v>1</v>
      </c>
    </row>
    <row r="178" spans="9:14" x14ac:dyDescent="0.3">
      <c r="I178">
        <v>175</v>
      </c>
      <c r="J178">
        <v>2.6735306104234828</v>
      </c>
      <c r="K178">
        <v>0</v>
      </c>
      <c r="L178">
        <v>0</v>
      </c>
      <c r="M178">
        <v>2.6735306104234828</v>
      </c>
      <c r="N178">
        <v>1</v>
      </c>
    </row>
    <row r="179" spans="9:14" x14ac:dyDescent="0.3">
      <c r="I179">
        <v>176</v>
      </c>
      <c r="J179">
        <v>3.1543382947895102</v>
      </c>
      <c r="K179">
        <v>0</v>
      </c>
      <c r="L179">
        <v>0</v>
      </c>
      <c r="M179">
        <v>3.1543382947895102</v>
      </c>
      <c r="N179">
        <v>0</v>
      </c>
    </row>
    <row r="180" spans="9:14" x14ac:dyDescent="0.3">
      <c r="I180">
        <v>177</v>
      </c>
      <c r="J180">
        <v>4.2987703567842006</v>
      </c>
      <c r="K180">
        <v>0</v>
      </c>
      <c r="L180">
        <v>0</v>
      </c>
      <c r="M180">
        <v>4.2987703567842006</v>
      </c>
      <c r="N180">
        <v>0</v>
      </c>
    </row>
    <row r="181" spans="9:14" x14ac:dyDescent="0.3">
      <c r="I181">
        <v>178</v>
      </c>
      <c r="J181">
        <v>3.507848482150123</v>
      </c>
      <c r="K181">
        <v>0</v>
      </c>
      <c r="L181">
        <v>0</v>
      </c>
      <c r="M181">
        <v>3.507848482150123</v>
      </c>
      <c r="N181">
        <v>0</v>
      </c>
    </row>
    <row r="182" spans="9:14" x14ac:dyDescent="0.3">
      <c r="I182">
        <v>179</v>
      </c>
      <c r="J182">
        <v>2.3218147566014671</v>
      </c>
      <c r="K182">
        <v>0</v>
      </c>
      <c r="L182">
        <v>0</v>
      </c>
      <c r="M182">
        <v>2.3218147566014671</v>
      </c>
      <c r="N182">
        <v>1</v>
      </c>
    </row>
    <row r="183" spans="9:14" x14ac:dyDescent="0.3">
      <c r="I183">
        <v>180</v>
      </c>
      <c r="J183">
        <v>3.418409040839717</v>
      </c>
      <c r="K183">
        <v>0</v>
      </c>
      <c r="L183">
        <v>0</v>
      </c>
      <c r="M183">
        <v>3.418409040839717</v>
      </c>
      <c r="N183">
        <v>0</v>
      </c>
    </row>
    <row r="184" spans="9:14" x14ac:dyDescent="0.3">
      <c r="I184">
        <v>181</v>
      </c>
      <c r="J184">
        <v>3.4748542677075318</v>
      </c>
      <c r="K184">
        <v>0</v>
      </c>
      <c r="L184">
        <v>0</v>
      </c>
      <c r="M184">
        <v>3.4748542677075318</v>
      </c>
      <c r="N184">
        <v>0</v>
      </c>
    </row>
    <row r="185" spans="9:14" x14ac:dyDescent="0.3">
      <c r="I185">
        <v>182</v>
      </c>
      <c r="J185">
        <v>3.8250720593522729</v>
      </c>
      <c r="K185">
        <v>1</v>
      </c>
      <c r="L185">
        <v>1.7873651664048249</v>
      </c>
      <c r="M185">
        <v>5.6124372257570982</v>
      </c>
      <c r="N185">
        <v>0</v>
      </c>
    </row>
    <row r="186" spans="9:14" x14ac:dyDescent="0.3">
      <c r="I186">
        <v>183</v>
      </c>
      <c r="J186">
        <v>3.276147205423857</v>
      </c>
      <c r="K186">
        <v>0</v>
      </c>
      <c r="L186">
        <v>0</v>
      </c>
      <c r="M186">
        <v>3.276147205423857</v>
      </c>
      <c r="N186">
        <v>0</v>
      </c>
    </row>
    <row r="187" spans="9:14" x14ac:dyDescent="0.3">
      <c r="I187">
        <v>184</v>
      </c>
      <c r="J187">
        <v>3.1329954201635388</v>
      </c>
      <c r="K187">
        <v>1</v>
      </c>
      <c r="L187">
        <v>1.053519699294172</v>
      </c>
      <c r="M187">
        <v>4.1865151194577104</v>
      </c>
      <c r="N187">
        <v>0</v>
      </c>
    </row>
    <row r="188" spans="9:14" x14ac:dyDescent="0.3">
      <c r="I188">
        <v>185</v>
      </c>
      <c r="J188">
        <v>3.1096236386671259</v>
      </c>
      <c r="K188">
        <v>0</v>
      </c>
      <c r="L188">
        <v>0</v>
      </c>
      <c r="M188">
        <v>3.1096236386671259</v>
      </c>
      <c r="N188">
        <v>0</v>
      </c>
    </row>
    <row r="189" spans="9:14" x14ac:dyDescent="0.3">
      <c r="I189">
        <v>186</v>
      </c>
      <c r="J189">
        <v>2.525737928995782</v>
      </c>
      <c r="K189">
        <v>0</v>
      </c>
      <c r="L189">
        <v>0</v>
      </c>
      <c r="M189">
        <v>2.525737928995782</v>
      </c>
      <c r="N189">
        <v>1</v>
      </c>
    </row>
    <row r="190" spans="9:14" x14ac:dyDescent="0.3">
      <c r="I190">
        <v>187</v>
      </c>
      <c r="J190">
        <v>4.1533491489840131</v>
      </c>
      <c r="K190">
        <v>0</v>
      </c>
      <c r="L190">
        <v>0</v>
      </c>
      <c r="M190">
        <v>4.1533491489840131</v>
      </c>
      <c r="N190">
        <v>0</v>
      </c>
    </row>
    <row r="191" spans="9:14" x14ac:dyDescent="0.3">
      <c r="I191">
        <v>188</v>
      </c>
      <c r="J191">
        <v>3.2492334478829652</v>
      </c>
      <c r="K191">
        <v>0</v>
      </c>
      <c r="L191">
        <v>0</v>
      </c>
      <c r="M191">
        <v>3.2492334478829652</v>
      </c>
      <c r="N191">
        <v>0</v>
      </c>
    </row>
    <row r="192" spans="9:14" x14ac:dyDescent="0.3">
      <c r="I192">
        <v>189</v>
      </c>
      <c r="J192">
        <v>2.7795182712312929</v>
      </c>
      <c r="K192">
        <v>0</v>
      </c>
      <c r="L192">
        <v>0</v>
      </c>
      <c r="M192">
        <v>2.7795182712312929</v>
      </c>
      <c r="N192">
        <v>1</v>
      </c>
    </row>
    <row r="193" spans="9:14" x14ac:dyDescent="0.3">
      <c r="I193">
        <v>190</v>
      </c>
      <c r="J193">
        <v>2.375602705348264</v>
      </c>
      <c r="K193">
        <v>0</v>
      </c>
      <c r="L193">
        <v>0</v>
      </c>
      <c r="M193">
        <v>2.375602705348264</v>
      </c>
      <c r="N193">
        <v>1</v>
      </c>
    </row>
    <row r="194" spans="9:14" x14ac:dyDescent="0.3">
      <c r="I194">
        <v>191</v>
      </c>
      <c r="J194">
        <v>2.964305419043074</v>
      </c>
      <c r="K194">
        <v>1</v>
      </c>
      <c r="L194">
        <v>1.2786618871152791</v>
      </c>
      <c r="M194">
        <v>4.242967306158353</v>
      </c>
      <c r="N194">
        <v>0</v>
      </c>
    </row>
    <row r="195" spans="9:14" x14ac:dyDescent="0.3">
      <c r="I195">
        <v>192</v>
      </c>
      <c r="J195">
        <v>3.082019171223604</v>
      </c>
      <c r="K195">
        <v>0</v>
      </c>
      <c r="L195">
        <v>0</v>
      </c>
      <c r="M195">
        <v>3.082019171223604</v>
      </c>
      <c r="N195">
        <v>0</v>
      </c>
    </row>
    <row r="196" spans="9:14" x14ac:dyDescent="0.3">
      <c r="I196">
        <v>193</v>
      </c>
      <c r="J196">
        <v>2.338341337194322</v>
      </c>
      <c r="K196">
        <v>0</v>
      </c>
      <c r="L196">
        <v>0</v>
      </c>
      <c r="M196">
        <v>2.338341337194322</v>
      </c>
      <c r="N196">
        <v>1</v>
      </c>
    </row>
    <row r="197" spans="9:14" x14ac:dyDescent="0.3">
      <c r="I197">
        <v>194</v>
      </c>
      <c r="J197">
        <v>2.9019669680913358</v>
      </c>
      <c r="K197">
        <v>0</v>
      </c>
      <c r="L197">
        <v>0</v>
      </c>
      <c r="M197">
        <v>2.9019669680913358</v>
      </c>
      <c r="N197">
        <v>1</v>
      </c>
    </row>
    <row r="198" spans="9:14" x14ac:dyDescent="0.3">
      <c r="I198">
        <v>195</v>
      </c>
      <c r="J198">
        <v>3.4760141931552502</v>
      </c>
      <c r="K198">
        <v>1</v>
      </c>
      <c r="L198">
        <v>1.902850322498419</v>
      </c>
      <c r="M198">
        <v>5.3788645156536692</v>
      </c>
      <c r="N198">
        <v>0</v>
      </c>
    </row>
    <row r="199" spans="9:14" x14ac:dyDescent="0.3">
      <c r="I199">
        <v>196</v>
      </c>
      <c r="J199">
        <v>2.907611605289588</v>
      </c>
      <c r="K199">
        <v>0</v>
      </c>
      <c r="L199">
        <v>0</v>
      </c>
      <c r="M199">
        <v>2.907611605289588</v>
      </c>
      <c r="N199">
        <v>1</v>
      </c>
    </row>
    <row r="200" spans="9:14" x14ac:dyDescent="0.3">
      <c r="I200">
        <v>197</v>
      </c>
      <c r="J200">
        <v>3.9344044970833512</v>
      </c>
      <c r="K200">
        <v>1</v>
      </c>
      <c r="L200">
        <v>1.203314242366655</v>
      </c>
      <c r="M200">
        <v>5.1377187394500057</v>
      </c>
      <c r="N200">
        <v>0</v>
      </c>
    </row>
    <row r="201" spans="9:14" x14ac:dyDescent="0.3">
      <c r="I201">
        <v>198</v>
      </c>
      <c r="J201">
        <v>2.900319399072214</v>
      </c>
      <c r="K201">
        <v>0</v>
      </c>
      <c r="L201">
        <v>0</v>
      </c>
      <c r="M201">
        <v>2.900319399072214</v>
      </c>
      <c r="N201">
        <v>1</v>
      </c>
    </row>
    <row r="202" spans="9:14" x14ac:dyDescent="0.3">
      <c r="I202">
        <v>199</v>
      </c>
      <c r="J202">
        <v>3.457946940536623</v>
      </c>
      <c r="K202">
        <v>0</v>
      </c>
      <c r="L202">
        <v>0</v>
      </c>
      <c r="M202">
        <v>3.457946940536623</v>
      </c>
      <c r="N202">
        <v>0</v>
      </c>
    </row>
    <row r="203" spans="9:14" x14ac:dyDescent="0.3">
      <c r="I203">
        <v>200</v>
      </c>
      <c r="J203">
        <v>2.2423307098131189</v>
      </c>
      <c r="K203">
        <v>1</v>
      </c>
      <c r="L203">
        <v>1.164218818232672</v>
      </c>
      <c r="M203">
        <v>3.406549528045792</v>
      </c>
      <c r="N203">
        <v>0</v>
      </c>
    </row>
    <row r="204" spans="9:14" x14ac:dyDescent="0.3">
      <c r="I204">
        <v>201</v>
      </c>
      <c r="J204">
        <v>3.0264678348981549</v>
      </c>
      <c r="K204">
        <v>0</v>
      </c>
      <c r="L204">
        <v>0</v>
      </c>
      <c r="M204">
        <v>3.0264678348981549</v>
      </c>
      <c r="N204">
        <v>0</v>
      </c>
    </row>
    <row r="205" spans="9:14" x14ac:dyDescent="0.3">
      <c r="I205">
        <v>202</v>
      </c>
      <c r="J205">
        <v>3.9789386000058058</v>
      </c>
      <c r="K205">
        <v>0</v>
      </c>
      <c r="L205">
        <v>0</v>
      </c>
      <c r="M205">
        <v>3.9789386000058058</v>
      </c>
      <c r="N205">
        <v>0</v>
      </c>
    </row>
    <row r="206" spans="9:14" x14ac:dyDescent="0.3">
      <c r="I206">
        <v>203</v>
      </c>
      <c r="J206">
        <v>4.4928415344198243</v>
      </c>
      <c r="K206">
        <v>0</v>
      </c>
      <c r="L206">
        <v>0</v>
      </c>
      <c r="M206">
        <v>4.4928415344198243</v>
      </c>
      <c r="N206">
        <v>0</v>
      </c>
    </row>
    <row r="207" spans="9:14" x14ac:dyDescent="0.3">
      <c r="I207">
        <v>204</v>
      </c>
      <c r="J207">
        <v>3.0868548682086159</v>
      </c>
      <c r="K207">
        <v>0</v>
      </c>
      <c r="L207">
        <v>0</v>
      </c>
      <c r="M207">
        <v>3.0868548682086159</v>
      </c>
      <c r="N207">
        <v>0</v>
      </c>
    </row>
    <row r="208" spans="9:14" x14ac:dyDescent="0.3">
      <c r="I208">
        <v>205</v>
      </c>
      <c r="J208">
        <v>2.7444816030447519</v>
      </c>
      <c r="K208">
        <v>0</v>
      </c>
      <c r="L208">
        <v>0</v>
      </c>
      <c r="M208">
        <v>2.7444816030447519</v>
      </c>
      <c r="N208">
        <v>1</v>
      </c>
    </row>
    <row r="209" spans="9:14" x14ac:dyDescent="0.3">
      <c r="I209">
        <v>206</v>
      </c>
      <c r="J209">
        <v>3.168012294832006</v>
      </c>
      <c r="K209">
        <v>0</v>
      </c>
      <c r="L209">
        <v>0</v>
      </c>
      <c r="M209">
        <v>3.168012294832006</v>
      </c>
      <c r="N209">
        <v>0</v>
      </c>
    </row>
    <row r="210" spans="9:14" x14ac:dyDescent="0.3">
      <c r="I210">
        <v>207</v>
      </c>
      <c r="J210">
        <v>2.679179248536451</v>
      </c>
      <c r="K210">
        <v>0</v>
      </c>
      <c r="L210">
        <v>0</v>
      </c>
      <c r="M210">
        <v>2.679179248536451</v>
      </c>
      <c r="N210">
        <v>1</v>
      </c>
    </row>
    <row r="211" spans="9:14" x14ac:dyDescent="0.3">
      <c r="I211">
        <v>208</v>
      </c>
      <c r="J211">
        <v>2.5205552536331739</v>
      </c>
      <c r="K211">
        <v>0</v>
      </c>
      <c r="L211">
        <v>0</v>
      </c>
      <c r="M211">
        <v>2.5205552536331739</v>
      </c>
      <c r="N211">
        <v>1</v>
      </c>
    </row>
    <row r="212" spans="9:14" x14ac:dyDescent="0.3">
      <c r="I212">
        <v>209</v>
      </c>
      <c r="J212">
        <v>4.104356905961807</v>
      </c>
      <c r="K212">
        <v>1</v>
      </c>
      <c r="L212">
        <v>1.8965385039763889</v>
      </c>
      <c r="M212">
        <v>6.0008954099381953</v>
      </c>
      <c r="N212">
        <v>0</v>
      </c>
    </row>
    <row r="213" spans="9:14" x14ac:dyDescent="0.3">
      <c r="I213">
        <v>210</v>
      </c>
      <c r="J213">
        <v>2.801448523993181</v>
      </c>
      <c r="K213">
        <v>0</v>
      </c>
      <c r="L213">
        <v>0</v>
      </c>
      <c r="M213">
        <v>2.801448523993181</v>
      </c>
      <c r="N213">
        <v>1</v>
      </c>
    </row>
    <row r="214" spans="9:14" x14ac:dyDescent="0.3">
      <c r="I214">
        <v>211</v>
      </c>
      <c r="J214">
        <v>2.4526209225980109</v>
      </c>
      <c r="K214">
        <v>0</v>
      </c>
      <c r="L214">
        <v>0</v>
      </c>
      <c r="M214">
        <v>2.4526209225980109</v>
      </c>
      <c r="N214">
        <v>1</v>
      </c>
    </row>
    <row r="215" spans="9:14" x14ac:dyDescent="0.3">
      <c r="I215">
        <v>212</v>
      </c>
      <c r="J215">
        <v>2.7795455820112989</v>
      </c>
      <c r="K215">
        <v>0</v>
      </c>
      <c r="L215">
        <v>0</v>
      </c>
      <c r="M215">
        <v>2.7795455820112989</v>
      </c>
      <c r="N215">
        <v>1</v>
      </c>
    </row>
    <row r="216" spans="9:14" x14ac:dyDescent="0.3">
      <c r="I216">
        <v>213</v>
      </c>
      <c r="J216">
        <v>2.5780047176640482</v>
      </c>
      <c r="K216">
        <v>0</v>
      </c>
      <c r="L216">
        <v>0</v>
      </c>
      <c r="M216">
        <v>2.5780047176640482</v>
      </c>
      <c r="N216">
        <v>1</v>
      </c>
    </row>
    <row r="217" spans="9:14" x14ac:dyDescent="0.3">
      <c r="I217">
        <v>214</v>
      </c>
      <c r="J217">
        <v>3.6007882019809432</v>
      </c>
      <c r="K217">
        <v>0</v>
      </c>
      <c r="L217">
        <v>0</v>
      </c>
      <c r="M217">
        <v>3.6007882019809432</v>
      </c>
      <c r="N217">
        <v>0</v>
      </c>
    </row>
    <row r="218" spans="9:14" x14ac:dyDescent="0.3">
      <c r="I218">
        <v>215</v>
      </c>
      <c r="J218">
        <v>2.9000659452499522</v>
      </c>
      <c r="K218">
        <v>0</v>
      </c>
      <c r="L218">
        <v>0</v>
      </c>
      <c r="M218">
        <v>2.9000659452499522</v>
      </c>
      <c r="N218">
        <v>1</v>
      </c>
    </row>
    <row r="219" spans="9:14" x14ac:dyDescent="0.3">
      <c r="I219">
        <v>216</v>
      </c>
      <c r="J219">
        <v>2.9692175074422349</v>
      </c>
      <c r="K219">
        <v>0</v>
      </c>
      <c r="L219">
        <v>0</v>
      </c>
      <c r="M219">
        <v>2.9692175074422349</v>
      </c>
      <c r="N219">
        <v>1</v>
      </c>
    </row>
    <row r="220" spans="9:14" x14ac:dyDescent="0.3">
      <c r="I220">
        <v>217</v>
      </c>
      <c r="J220">
        <v>3.587587869223857</v>
      </c>
      <c r="K220">
        <v>0</v>
      </c>
      <c r="L220">
        <v>0</v>
      </c>
      <c r="M220">
        <v>3.587587869223857</v>
      </c>
      <c r="N220">
        <v>0</v>
      </c>
    </row>
    <row r="221" spans="9:14" x14ac:dyDescent="0.3">
      <c r="I221">
        <v>218</v>
      </c>
      <c r="J221">
        <v>2.8758267545214742</v>
      </c>
      <c r="K221">
        <v>0</v>
      </c>
      <c r="L221">
        <v>0</v>
      </c>
      <c r="M221">
        <v>2.8758267545214742</v>
      </c>
      <c r="N221">
        <v>1</v>
      </c>
    </row>
    <row r="222" spans="9:14" x14ac:dyDescent="0.3">
      <c r="I222">
        <v>219</v>
      </c>
      <c r="J222">
        <v>3.950331057471431</v>
      </c>
      <c r="K222">
        <v>0</v>
      </c>
      <c r="L222">
        <v>0</v>
      </c>
      <c r="M222">
        <v>3.950331057471431</v>
      </c>
      <c r="N222">
        <v>0</v>
      </c>
    </row>
    <row r="223" spans="9:14" x14ac:dyDescent="0.3">
      <c r="I223">
        <v>220</v>
      </c>
      <c r="J223">
        <v>2.601911901012687</v>
      </c>
      <c r="K223">
        <v>0</v>
      </c>
      <c r="L223">
        <v>0</v>
      </c>
      <c r="M223">
        <v>2.601911901012687</v>
      </c>
      <c r="N223">
        <v>1</v>
      </c>
    </row>
    <row r="224" spans="9:14" x14ac:dyDescent="0.3">
      <c r="I224">
        <v>221</v>
      </c>
      <c r="J224">
        <v>3.4338540488892808</v>
      </c>
      <c r="K224">
        <v>1</v>
      </c>
      <c r="L224">
        <v>1.605089924336573</v>
      </c>
      <c r="M224">
        <v>5.0389439732258534</v>
      </c>
      <c r="N224">
        <v>0</v>
      </c>
    </row>
    <row r="225" spans="9:14" x14ac:dyDescent="0.3">
      <c r="I225">
        <v>222</v>
      </c>
      <c r="J225">
        <v>4.0788689789635608</v>
      </c>
      <c r="K225">
        <v>1</v>
      </c>
      <c r="L225">
        <v>1.627015470722784</v>
      </c>
      <c r="M225">
        <v>5.7058844496863443</v>
      </c>
      <c r="N225">
        <v>0</v>
      </c>
    </row>
    <row r="226" spans="9:14" x14ac:dyDescent="0.3">
      <c r="I226">
        <v>223</v>
      </c>
      <c r="J226">
        <v>3.1413007632785952</v>
      </c>
      <c r="K226">
        <v>1</v>
      </c>
      <c r="L226">
        <v>1.160486711647736</v>
      </c>
      <c r="M226">
        <v>4.3017874749263303</v>
      </c>
      <c r="N226">
        <v>0</v>
      </c>
    </row>
    <row r="227" spans="9:14" x14ac:dyDescent="0.3">
      <c r="I227">
        <v>224</v>
      </c>
      <c r="J227">
        <v>3.3316620362483338</v>
      </c>
      <c r="K227">
        <v>0</v>
      </c>
      <c r="L227">
        <v>0</v>
      </c>
      <c r="M227">
        <v>3.3316620362483338</v>
      </c>
      <c r="N227">
        <v>0</v>
      </c>
    </row>
    <row r="228" spans="9:14" x14ac:dyDescent="0.3">
      <c r="I228">
        <v>225</v>
      </c>
      <c r="J228">
        <v>4.4210156074874458</v>
      </c>
      <c r="K228">
        <v>0</v>
      </c>
      <c r="L228">
        <v>0</v>
      </c>
      <c r="M228">
        <v>4.4210156074874458</v>
      </c>
      <c r="N228">
        <v>0</v>
      </c>
    </row>
    <row r="229" spans="9:14" x14ac:dyDescent="0.3">
      <c r="I229">
        <v>226</v>
      </c>
      <c r="J229">
        <v>2.7976741573797819</v>
      </c>
      <c r="K229">
        <v>1</v>
      </c>
      <c r="L229">
        <v>1.1561907335154651</v>
      </c>
      <c r="M229">
        <v>3.9538648908952472</v>
      </c>
      <c r="N229">
        <v>0</v>
      </c>
    </row>
    <row r="230" spans="9:14" x14ac:dyDescent="0.3">
      <c r="I230">
        <v>227</v>
      </c>
      <c r="J230">
        <v>3.378461031951848</v>
      </c>
      <c r="K230">
        <v>0</v>
      </c>
      <c r="L230">
        <v>0</v>
      </c>
      <c r="M230">
        <v>3.378461031951848</v>
      </c>
      <c r="N230">
        <v>0</v>
      </c>
    </row>
    <row r="231" spans="9:14" x14ac:dyDescent="0.3">
      <c r="I231">
        <v>228</v>
      </c>
      <c r="J231">
        <v>3.6664747987059529</v>
      </c>
      <c r="K231">
        <v>0</v>
      </c>
      <c r="L231">
        <v>0</v>
      </c>
      <c r="M231">
        <v>3.6664747987059529</v>
      </c>
      <c r="N231">
        <v>0</v>
      </c>
    </row>
    <row r="232" spans="9:14" x14ac:dyDescent="0.3">
      <c r="I232">
        <v>229</v>
      </c>
      <c r="J232">
        <v>3.3432026831832569</v>
      </c>
      <c r="K232">
        <v>0</v>
      </c>
      <c r="L232">
        <v>0</v>
      </c>
      <c r="M232">
        <v>3.3432026831832569</v>
      </c>
      <c r="N232">
        <v>0</v>
      </c>
    </row>
    <row r="233" spans="9:14" x14ac:dyDescent="0.3">
      <c r="I233">
        <v>230</v>
      </c>
      <c r="J233">
        <v>2.7625019267880062</v>
      </c>
      <c r="K233">
        <v>0</v>
      </c>
      <c r="L233">
        <v>0</v>
      </c>
      <c r="M233">
        <v>2.7625019267880062</v>
      </c>
      <c r="N233">
        <v>1</v>
      </c>
    </row>
    <row r="234" spans="9:14" x14ac:dyDescent="0.3">
      <c r="I234">
        <v>231</v>
      </c>
      <c r="J234">
        <v>3.274832261954153</v>
      </c>
      <c r="K234">
        <v>0</v>
      </c>
      <c r="L234">
        <v>0</v>
      </c>
      <c r="M234">
        <v>3.274832261954153</v>
      </c>
      <c r="N234">
        <v>0</v>
      </c>
    </row>
    <row r="235" spans="9:14" x14ac:dyDescent="0.3">
      <c r="I235">
        <v>232</v>
      </c>
      <c r="J235">
        <v>2.6510091554079689</v>
      </c>
      <c r="K235">
        <v>0</v>
      </c>
      <c r="L235">
        <v>0</v>
      </c>
      <c r="M235">
        <v>2.6510091554079689</v>
      </c>
      <c r="N235">
        <v>1</v>
      </c>
    </row>
    <row r="236" spans="9:14" x14ac:dyDescent="0.3">
      <c r="I236">
        <v>233</v>
      </c>
      <c r="J236">
        <v>3.9528275258589312</v>
      </c>
      <c r="K236">
        <v>0</v>
      </c>
      <c r="L236">
        <v>0</v>
      </c>
      <c r="M236">
        <v>3.9528275258589312</v>
      </c>
      <c r="N236">
        <v>0</v>
      </c>
    </row>
    <row r="237" spans="9:14" x14ac:dyDescent="0.3">
      <c r="I237">
        <v>234</v>
      </c>
      <c r="J237">
        <v>3.695736343384143</v>
      </c>
      <c r="K237">
        <v>0</v>
      </c>
      <c r="L237">
        <v>0</v>
      </c>
      <c r="M237">
        <v>3.695736343384143</v>
      </c>
      <c r="N237">
        <v>0</v>
      </c>
    </row>
    <row r="238" spans="9:14" x14ac:dyDescent="0.3">
      <c r="I238">
        <v>235</v>
      </c>
      <c r="J238">
        <v>2.6053097194426602</v>
      </c>
      <c r="K238">
        <v>0</v>
      </c>
      <c r="L238">
        <v>0</v>
      </c>
      <c r="M238">
        <v>2.6053097194426602</v>
      </c>
      <c r="N238">
        <v>1</v>
      </c>
    </row>
    <row r="239" spans="9:14" x14ac:dyDescent="0.3">
      <c r="I239">
        <v>236</v>
      </c>
      <c r="J239">
        <v>3.3957361875139012</v>
      </c>
      <c r="K239">
        <v>1</v>
      </c>
      <c r="L239">
        <v>1.9067965206899691</v>
      </c>
      <c r="M239">
        <v>5.30253270820387</v>
      </c>
      <c r="N239">
        <v>0</v>
      </c>
    </row>
    <row r="240" spans="9:14" x14ac:dyDescent="0.3">
      <c r="I240">
        <v>237</v>
      </c>
      <c r="J240">
        <v>2.6251452105515241</v>
      </c>
      <c r="K240">
        <v>1</v>
      </c>
      <c r="L240">
        <v>1.6153619158946979</v>
      </c>
      <c r="M240">
        <v>4.2405071264462224</v>
      </c>
      <c r="N240">
        <v>0</v>
      </c>
    </row>
    <row r="241" spans="9:14" x14ac:dyDescent="0.3">
      <c r="I241">
        <v>238</v>
      </c>
      <c r="J241">
        <v>3.1221002080618301</v>
      </c>
      <c r="K241">
        <v>1</v>
      </c>
      <c r="L241">
        <v>1.084119686521408</v>
      </c>
      <c r="M241">
        <v>4.2062198945832376</v>
      </c>
      <c r="N241">
        <v>0</v>
      </c>
    </row>
    <row r="242" spans="9:14" x14ac:dyDescent="0.3">
      <c r="I242">
        <v>239</v>
      </c>
      <c r="J242">
        <v>2.80034024668223</v>
      </c>
      <c r="K242">
        <v>0</v>
      </c>
      <c r="L242">
        <v>0</v>
      </c>
      <c r="M242">
        <v>2.80034024668223</v>
      </c>
      <c r="N242">
        <v>1</v>
      </c>
    </row>
    <row r="243" spans="9:14" x14ac:dyDescent="0.3">
      <c r="I243">
        <v>240</v>
      </c>
      <c r="J243">
        <v>2.6870647204442322</v>
      </c>
      <c r="K243">
        <v>0</v>
      </c>
      <c r="L243">
        <v>0</v>
      </c>
      <c r="M243">
        <v>2.6870647204442322</v>
      </c>
      <c r="N243">
        <v>1</v>
      </c>
    </row>
    <row r="244" spans="9:14" x14ac:dyDescent="0.3">
      <c r="I244">
        <v>241</v>
      </c>
      <c r="J244">
        <v>3.503087770332705</v>
      </c>
      <c r="K244">
        <v>1</v>
      </c>
      <c r="L244">
        <v>1.841345944474531</v>
      </c>
      <c r="M244">
        <v>5.3444337148072361</v>
      </c>
      <c r="N244">
        <v>0</v>
      </c>
    </row>
    <row r="245" spans="9:14" x14ac:dyDescent="0.3">
      <c r="I245">
        <v>242</v>
      </c>
      <c r="J245">
        <v>2.3984653629035981</v>
      </c>
      <c r="K245">
        <v>0</v>
      </c>
      <c r="L245">
        <v>0</v>
      </c>
      <c r="M245">
        <v>2.3984653629035981</v>
      </c>
      <c r="N245">
        <v>1</v>
      </c>
    </row>
    <row r="246" spans="9:14" x14ac:dyDescent="0.3">
      <c r="I246">
        <v>243</v>
      </c>
      <c r="J246">
        <v>3.669413086575231</v>
      </c>
      <c r="K246">
        <v>0</v>
      </c>
      <c r="L246">
        <v>0</v>
      </c>
      <c r="M246">
        <v>3.669413086575231</v>
      </c>
      <c r="N246">
        <v>0</v>
      </c>
    </row>
    <row r="247" spans="9:14" x14ac:dyDescent="0.3">
      <c r="I247">
        <v>244</v>
      </c>
      <c r="J247">
        <v>3.020819543380096</v>
      </c>
      <c r="K247">
        <v>0</v>
      </c>
      <c r="L247">
        <v>0</v>
      </c>
      <c r="M247">
        <v>3.020819543380096</v>
      </c>
      <c r="N247">
        <v>0</v>
      </c>
    </row>
    <row r="248" spans="9:14" x14ac:dyDescent="0.3">
      <c r="I248">
        <v>245</v>
      </c>
      <c r="J248">
        <v>3.0678333912866762</v>
      </c>
      <c r="K248">
        <v>0</v>
      </c>
      <c r="L248">
        <v>0</v>
      </c>
      <c r="M248">
        <v>3.0678333912866762</v>
      </c>
      <c r="N248">
        <v>0</v>
      </c>
    </row>
    <row r="249" spans="9:14" x14ac:dyDescent="0.3">
      <c r="I249">
        <v>246</v>
      </c>
      <c r="J249">
        <v>3.2013046131390661</v>
      </c>
      <c r="K249">
        <v>0</v>
      </c>
      <c r="L249">
        <v>0</v>
      </c>
      <c r="M249">
        <v>3.2013046131390661</v>
      </c>
      <c r="N249">
        <v>0</v>
      </c>
    </row>
    <row r="250" spans="9:14" x14ac:dyDescent="0.3">
      <c r="I250">
        <v>247</v>
      </c>
      <c r="J250">
        <v>3.421459803583502</v>
      </c>
      <c r="K250">
        <v>1</v>
      </c>
      <c r="L250">
        <v>1.4518772752075599</v>
      </c>
      <c r="M250">
        <v>4.8733370787910619</v>
      </c>
      <c r="N250">
        <v>0</v>
      </c>
    </row>
    <row r="251" spans="9:14" x14ac:dyDescent="0.3">
      <c r="I251">
        <v>248</v>
      </c>
      <c r="J251">
        <v>2.8127964473749758</v>
      </c>
      <c r="K251">
        <v>0</v>
      </c>
      <c r="L251">
        <v>0</v>
      </c>
      <c r="M251">
        <v>2.8127964473749758</v>
      </c>
      <c r="N251">
        <v>1</v>
      </c>
    </row>
    <row r="252" spans="9:14" x14ac:dyDescent="0.3">
      <c r="I252">
        <v>249</v>
      </c>
      <c r="J252">
        <v>2.5675915552624198</v>
      </c>
      <c r="K252">
        <v>0</v>
      </c>
      <c r="L252">
        <v>0</v>
      </c>
      <c r="M252">
        <v>2.5675915552624198</v>
      </c>
      <c r="N252">
        <v>1</v>
      </c>
    </row>
    <row r="253" spans="9:14" x14ac:dyDescent="0.3">
      <c r="I253">
        <v>250</v>
      </c>
      <c r="J253">
        <v>2.6070658193281981</v>
      </c>
      <c r="K253">
        <v>0</v>
      </c>
      <c r="L253">
        <v>0</v>
      </c>
      <c r="M253">
        <v>2.6070658193281981</v>
      </c>
      <c r="N253">
        <v>1</v>
      </c>
    </row>
    <row r="254" spans="9:14" x14ac:dyDescent="0.3">
      <c r="I254">
        <v>251</v>
      </c>
      <c r="J254">
        <v>3.0192817379008621</v>
      </c>
      <c r="K254">
        <v>0</v>
      </c>
      <c r="L254">
        <v>0</v>
      </c>
      <c r="M254">
        <v>3.0192817379008621</v>
      </c>
      <c r="N254">
        <v>0</v>
      </c>
    </row>
    <row r="255" spans="9:14" x14ac:dyDescent="0.3">
      <c r="I255">
        <v>252</v>
      </c>
      <c r="J255">
        <v>3.6508504007036628</v>
      </c>
      <c r="K255">
        <v>0</v>
      </c>
      <c r="L255">
        <v>0</v>
      </c>
      <c r="M255">
        <v>3.6508504007036628</v>
      </c>
      <c r="N255">
        <v>0</v>
      </c>
    </row>
    <row r="256" spans="9:14" x14ac:dyDescent="0.3">
      <c r="I256">
        <v>253</v>
      </c>
      <c r="J256">
        <v>2.8342171206257651</v>
      </c>
      <c r="K256">
        <v>1</v>
      </c>
      <c r="L256">
        <v>1.6034886967639781</v>
      </c>
      <c r="M256">
        <v>4.4377058173897428</v>
      </c>
      <c r="N256">
        <v>0</v>
      </c>
    </row>
    <row r="257" spans="9:14" x14ac:dyDescent="0.3">
      <c r="I257">
        <v>254</v>
      </c>
      <c r="J257">
        <v>2.948119215619867</v>
      </c>
      <c r="K257">
        <v>0</v>
      </c>
      <c r="L257">
        <v>0</v>
      </c>
      <c r="M257">
        <v>2.948119215619867</v>
      </c>
      <c r="N257">
        <v>1</v>
      </c>
    </row>
    <row r="258" spans="9:14" x14ac:dyDescent="0.3">
      <c r="I258">
        <v>255</v>
      </c>
      <c r="J258">
        <v>3.1756445749075559</v>
      </c>
      <c r="K258">
        <v>0</v>
      </c>
      <c r="L258">
        <v>0</v>
      </c>
      <c r="M258">
        <v>3.1756445749075559</v>
      </c>
      <c r="N258">
        <v>0</v>
      </c>
    </row>
    <row r="259" spans="9:14" x14ac:dyDescent="0.3">
      <c r="I259">
        <v>256</v>
      </c>
      <c r="J259">
        <v>3.8719095131777221</v>
      </c>
      <c r="K259">
        <v>0</v>
      </c>
      <c r="L259">
        <v>0</v>
      </c>
      <c r="M259">
        <v>3.8719095131777221</v>
      </c>
      <c r="N259">
        <v>0</v>
      </c>
    </row>
    <row r="260" spans="9:14" x14ac:dyDescent="0.3">
      <c r="I260">
        <v>257</v>
      </c>
      <c r="J260">
        <v>3.071504899157858</v>
      </c>
      <c r="K260">
        <v>0</v>
      </c>
      <c r="L260">
        <v>0</v>
      </c>
      <c r="M260">
        <v>3.071504899157858</v>
      </c>
      <c r="N260">
        <v>0</v>
      </c>
    </row>
    <row r="261" spans="9:14" x14ac:dyDescent="0.3">
      <c r="I261">
        <v>258</v>
      </c>
      <c r="J261">
        <v>4.4244851238495624</v>
      </c>
      <c r="K261">
        <v>0</v>
      </c>
      <c r="L261">
        <v>0</v>
      </c>
      <c r="M261">
        <v>4.4244851238495624</v>
      </c>
      <c r="N261">
        <v>0</v>
      </c>
    </row>
    <row r="262" spans="9:14" x14ac:dyDescent="0.3">
      <c r="I262">
        <v>259</v>
      </c>
      <c r="J262">
        <v>3.435693917606649</v>
      </c>
      <c r="K262">
        <v>1</v>
      </c>
      <c r="L262">
        <v>1.9995195427676311</v>
      </c>
      <c r="M262">
        <v>5.4352134603742801</v>
      </c>
      <c r="N262">
        <v>0</v>
      </c>
    </row>
    <row r="263" spans="9:14" x14ac:dyDescent="0.3">
      <c r="I263">
        <v>260</v>
      </c>
      <c r="J263">
        <v>4.4783286499111767</v>
      </c>
      <c r="K263">
        <v>1</v>
      </c>
      <c r="L263">
        <v>1.7143413554124689</v>
      </c>
      <c r="M263">
        <v>6.1926700053236461</v>
      </c>
      <c r="N263">
        <v>0</v>
      </c>
    </row>
    <row r="264" spans="9:14" x14ac:dyDescent="0.3">
      <c r="I264">
        <v>261</v>
      </c>
      <c r="J264">
        <v>2.2294116181220591</v>
      </c>
      <c r="K264">
        <v>0</v>
      </c>
      <c r="L264">
        <v>0</v>
      </c>
      <c r="M264">
        <v>2.2294116181220591</v>
      </c>
      <c r="N264">
        <v>1</v>
      </c>
    </row>
    <row r="265" spans="9:14" x14ac:dyDescent="0.3">
      <c r="I265">
        <v>262</v>
      </c>
      <c r="J265">
        <v>3.8523544475385498</v>
      </c>
      <c r="K265">
        <v>0</v>
      </c>
      <c r="L265">
        <v>0</v>
      </c>
      <c r="M265">
        <v>3.8523544475385498</v>
      </c>
      <c r="N265">
        <v>0</v>
      </c>
    </row>
    <row r="266" spans="9:14" x14ac:dyDescent="0.3">
      <c r="I266">
        <v>263</v>
      </c>
      <c r="J266">
        <v>3.3463129248493559</v>
      </c>
      <c r="K266">
        <v>1</v>
      </c>
      <c r="L266">
        <v>1.8261449128933649</v>
      </c>
      <c r="M266">
        <v>5.1724578377427211</v>
      </c>
      <c r="N266">
        <v>0</v>
      </c>
    </row>
    <row r="267" spans="9:14" x14ac:dyDescent="0.3">
      <c r="I267">
        <v>264</v>
      </c>
      <c r="J267">
        <v>2.8065570976381569</v>
      </c>
      <c r="K267">
        <v>0</v>
      </c>
      <c r="L267">
        <v>0</v>
      </c>
      <c r="M267">
        <v>2.8065570976381569</v>
      </c>
      <c r="N267">
        <v>1</v>
      </c>
    </row>
    <row r="268" spans="9:14" x14ac:dyDescent="0.3">
      <c r="I268">
        <v>265</v>
      </c>
      <c r="J268">
        <v>3.1262267045587029</v>
      </c>
      <c r="K268">
        <v>0</v>
      </c>
      <c r="L268">
        <v>0</v>
      </c>
      <c r="M268">
        <v>3.1262267045587029</v>
      </c>
      <c r="N268">
        <v>0</v>
      </c>
    </row>
    <row r="269" spans="9:14" x14ac:dyDescent="0.3">
      <c r="I269">
        <v>266</v>
      </c>
      <c r="J269">
        <v>2.6937641799799921</v>
      </c>
      <c r="K269">
        <v>1</v>
      </c>
      <c r="L269">
        <v>1.366421497558556</v>
      </c>
      <c r="M269">
        <v>4.0601856775385468</v>
      </c>
      <c r="N269">
        <v>0</v>
      </c>
    </row>
    <row r="270" spans="9:14" x14ac:dyDescent="0.3">
      <c r="I270">
        <v>267</v>
      </c>
      <c r="J270">
        <v>4.3513582437838147</v>
      </c>
      <c r="K270">
        <v>0</v>
      </c>
      <c r="L270">
        <v>0</v>
      </c>
      <c r="M270">
        <v>4.3513582437838147</v>
      </c>
      <c r="N270">
        <v>0</v>
      </c>
    </row>
    <row r="271" spans="9:14" x14ac:dyDescent="0.3">
      <c r="I271">
        <v>268</v>
      </c>
      <c r="J271">
        <v>2.6310839124801508</v>
      </c>
      <c r="K271">
        <v>0</v>
      </c>
      <c r="L271">
        <v>0</v>
      </c>
      <c r="M271">
        <v>2.6310839124801508</v>
      </c>
      <c r="N271">
        <v>1</v>
      </c>
    </row>
    <row r="272" spans="9:14" x14ac:dyDescent="0.3">
      <c r="I272">
        <v>269</v>
      </c>
      <c r="J272">
        <v>2.756491385803006</v>
      </c>
      <c r="K272">
        <v>0</v>
      </c>
      <c r="L272">
        <v>0</v>
      </c>
      <c r="M272">
        <v>2.756491385803006</v>
      </c>
      <c r="N272">
        <v>1</v>
      </c>
    </row>
    <row r="273" spans="9:14" x14ac:dyDescent="0.3">
      <c r="I273">
        <v>270</v>
      </c>
      <c r="J273">
        <v>2.4094094298137678</v>
      </c>
      <c r="K273">
        <v>0</v>
      </c>
      <c r="L273">
        <v>0</v>
      </c>
      <c r="M273">
        <v>2.4094094298137678</v>
      </c>
      <c r="N273">
        <v>1</v>
      </c>
    </row>
    <row r="274" spans="9:14" x14ac:dyDescent="0.3">
      <c r="I274">
        <v>271</v>
      </c>
      <c r="J274">
        <v>2.8771132043662591</v>
      </c>
      <c r="K274">
        <v>0</v>
      </c>
      <c r="L274">
        <v>0</v>
      </c>
      <c r="M274">
        <v>2.8771132043662591</v>
      </c>
      <c r="N274">
        <v>1</v>
      </c>
    </row>
    <row r="275" spans="9:14" x14ac:dyDescent="0.3">
      <c r="I275">
        <v>272</v>
      </c>
      <c r="J275">
        <v>3.4153559897227872</v>
      </c>
      <c r="K275">
        <v>0</v>
      </c>
      <c r="L275">
        <v>0</v>
      </c>
      <c r="M275">
        <v>3.4153559897227872</v>
      </c>
      <c r="N275">
        <v>0</v>
      </c>
    </row>
    <row r="276" spans="9:14" x14ac:dyDescent="0.3">
      <c r="I276">
        <v>273</v>
      </c>
      <c r="J276">
        <v>2.5778315585528002</v>
      </c>
      <c r="K276">
        <v>0</v>
      </c>
      <c r="L276">
        <v>0</v>
      </c>
      <c r="M276">
        <v>2.5778315585528002</v>
      </c>
      <c r="N276">
        <v>1</v>
      </c>
    </row>
    <row r="277" spans="9:14" x14ac:dyDescent="0.3">
      <c r="I277">
        <v>274</v>
      </c>
      <c r="J277">
        <v>3.9252578148345241</v>
      </c>
      <c r="K277">
        <v>1</v>
      </c>
      <c r="L277">
        <v>1.1421700617855379</v>
      </c>
      <c r="M277">
        <v>5.0674278766200622</v>
      </c>
      <c r="N277">
        <v>0</v>
      </c>
    </row>
    <row r="278" spans="9:14" x14ac:dyDescent="0.3">
      <c r="I278">
        <v>275</v>
      </c>
      <c r="J278">
        <v>2.956243851884977</v>
      </c>
      <c r="K278">
        <v>0</v>
      </c>
      <c r="L278">
        <v>0</v>
      </c>
      <c r="M278">
        <v>2.956243851884977</v>
      </c>
      <c r="N278">
        <v>1</v>
      </c>
    </row>
    <row r="279" spans="9:14" x14ac:dyDescent="0.3">
      <c r="I279">
        <v>276</v>
      </c>
      <c r="J279">
        <v>3.2114359713450411</v>
      </c>
      <c r="K279">
        <v>0</v>
      </c>
      <c r="L279">
        <v>0</v>
      </c>
      <c r="M279">
        <v>3.2114359713450411</v>
      </c>
      <c r="N279">
        <v>0</v>
      </c>
    </row>
    <row r="280" spans="9:14" x14ac:dyDescent="0.3">
      <c r="I280">
        <v>277</v>
      </c>
      <c r="J280">
        <v>3.023033469811105</v>
      </c>
      <c r="K280">
        <v>0</v>
      </c>
      <c r="L280">
        <v>0</v>
      </c>
      <c r="M280">
        <v>3.023033469811105</v>
      </c>
      <c r="N280">
        <v>0</v>
      </c>
    </row>
    <row r="281" spans="9:14" x14ac:dyDescent="0.3">
      <c r="I281">
        <v>278</v>
      </c>
      <c r="J281">
        <v>3.6018783537047749</v>
      </c>
      <c r="K281">
        <v>0</v>
      </c>
      <c r="L281">
        <v>0</v>
      </c>
      <c r="M281">
        <v>3.6018783537047749</v>
      </c>
      <c r="N281">
        <v>0</v>
      </c>
    </row>
    <row r="282" spans="9:14" x14ac:dyDescent="0.3">
      <c r="I282">
        <v>279</v>
      </c>
      <c r="J282">
        <v>3.046952403924907</v>
      </c>
      <c r="K282">
        <v>1</v>
      </c>
      <c r="L282">
        <v>1.7938212315636679</v>
      </c>
      <c r="M282">
        <v>4.8407736354885751</v>
      </c>
      <c r="N282">
        <v>0</v>
      </c>
    </row>
    <row r="283" spans="9:14" x14ac:dyDescent="0.3">
      <c r="I283">
        <v>280</v>
      </c>
      <c r="J283">
        <v>3.5383200371286141</v>
      </c>
      <c r="K283">
        <v>0</v>
      </c>
      <c r="L283">
        <v>0</v>
      </c>
      <c r="M283">
        <v>3.5383200371286141</v>
      </c>
      <c r="N283">
        <v>0</v>
      </c>
    </row>
    <row r="284" spans="9:14" x14ac:dyDescent="0.3">
      <c r="I284">
        <v>281</v>
      </c>
      <c r="J284">
        <v>4.230991271119465</v>
      </c>
      <c r="K284">
        <v>0</v>
      </c>
      <c r="L284">
        <v>0</v>
      </c>
      <c r="M284">
        <v>4.230991271119465</v>
      </c>
      <c r="N284">
        <v>0</v>
      </c>
    </row>
    <row r="285" spans="9:14" x14ac:dyDescent="0.3">
      <c r="I285">
        <v>282</v>
      </c>
      <c r="J285">
        <v>3.030392651601332</v>
      </c>
      <c r="K285">
        <v>1</v>
      </c>
      <c r="L285">
        <v>1.73686815772558</v>
      </c>
      <c r="M285">
        <v>4.7672608093269124</v>
      </c>
      <c r="N285">
        <v>0</v>
      </c>
    </row>
    <row r="286" spans="9:14" x14ac:dyDescent="0.3">
      <c r="I286">
        <v>283</v>
      </c>
      <c r="J286">
        <v>2.3781515174635901</v>
      </c>
      <c r="K286">
        <v>0</v>
      </c>
      <c r="L286">
        <v>0</v>
      </c>
      <c r="M286">
        <v>2.3781515174635901</v>
      </c>
      <c r="N286">
        <v>1</v>
      </c>
    </row>
    <row r="287" spans="9:14" x14ac:dyDescent="0.3">
      <c r="I287">
        <v>284</v>
      </c>
      <c r="J287">
        <v>3.7951142750475921</v>
      </c>
      <c r="K287">
        <v>1</v>
      </c>
      <c r="L287">
        <v>1.0966918002698369</v>
      </c>
      <c r="M287">
        <v>4.8918060753174286</v>
      </c>
      <c r="N287">
        <v>0</v>
      </c>
    </row>
    <row r="288" spans="9:14" x14ac:dyDescent="0.3">
      <c r="I288">
        <v>285</v>
      </c>
      <c r="J288">
        <v>4.1988705595045612</v>
      </c>
      <c r="K288">
        <v>0</v>
      </c>
      <c r="L288">
        <v>0</v>
      </c>
      <c r="M288">
        <v>4.1988705595045612</v>
      </c>
      <c r="N288">
        <v>0</v>
      </c>
    </row>
    <row r="289" spans="9:14" x14ac:dyDescent="0.3">
      <c r="I289">
        <v>286</v>
      </c>
      <c r="J289">
        <v>4.0108633025285032</v>
      </c>
      <c r="K289">
        <v>0</v>
      </c>
      <c r="L289">
        <v>0</v>
      </c>
      <c r="M289">
        <v>4.0108633025285032</v>
      </c>
      <c r="N289">
        <v>0</v>
      </c>
    </row>
    <row r="290" spans="9:14" x14ac:dyDescent="0.3">
      <c r="I290">
        <v>287</v>
      </c>
      <c r="J290">
        <v>3.4057160458208031</v>
      </c>
      <c r="K290">
        <v>1</v>
      </c>
      <c r="L290">
        <v>1.1217881611169911</v>
      </c>
      <c r="M290">
        <v>4.5275042069377944</v>
      </c>
      <c r="N290">
        <v>0</v>
      </c>
    </row>
    <row r="291" spans="9:14" x14ac:dyDescent="0.3">
      <c r="I291">
        <v>288</v>
      </c>
      <c r="J291">
        <v>3.1032636875976798</v>
      </c>
      <c r="K291">
        <v>0</v>
      </c>
      <c r="L291">
        <v>0</v>
      </c>
      <c r="M291">
        <v>3.1032636875976798</v>
      </c>
      <c r="N291">
        <v>0</v>
      </c>
    </row>
    <row r="292" spans="9:14" x14ac:dyDescent="0.3">
      <c r="I292">
        <v>289</v>
      </c>
      <c r="J292">
        <v>2.622090643761362</v>
      </c>
      <c r="K292">
        <v>0</v>
      </c>
      <c r="L292">
        <v>0</v>
      </c>
      <c r="M292">
        <v>2.622090643761362</v>
      </c>
      <c r="N292">
        <v>1</v>
      </c>
    </row>
    <row r="293" spans="9:14" x14ac:dyDescent="0.3">
      <c r="I293">
        <v>290</v>
      </c>
      <c r="J293">
        <v>2.9276331941832332</v>
      </c>
      <c r="K293">
        <v>0</v>
      </c>
      <c r="L293">
        <v>0</v>
      </c>
      <c r="M293">
        <v>2.9276331941832332</v>
      </c>
      <c r="N293">
        <v>1</v>
      </c>
    </row>
    <row r="294" spans="9:14" x14ac:dyDescent="0.3">
      <c r="I294">
        <v>291</v>
      </c>
      <c r="J294">
        <v>2.6416123452924869</v>
      </c>
      <c r="K294">
        <v>1</v>
      </c>
      <c r="L294">
        <v>1.851164246969075</v>
      </c>
      <c r="M294">
        <v>4.4927765922615617</v>
      </c>
      <c r="N294">
        <v>0</v>
      </c>
    </row>
    <row r="295" spans="9:14" x14ac:dyDescent="0.3">
      <c r="I295">
        <v>292</v>
      </c>
      <c r="J295">
        <v>2.9297458568122501</v>
      </c>
      <c r="K295">
        <v>0</v>
      </c>
      <c r="L295">
        <v>0</v>
      </c>
      <c r="M295">
        <v>2.9297458568122501</v>
      </c>
      <c r="N295">
        <v>1</v>
      </c>
    </row>
    <row r="296" spans="9:14" x14ac:dyDescent="0.3">
      <c r="I296">
        <v>293</v>
      </c>
      <c r="J296">
        <v>3.30330281966011</v>
      </c>
      <c r="K296">
        <v>0</v>
      </c>
      <c r="L296">
        <v>0</v>
      </c>
      <c r="M296">
        <v>3.30330281966011</v>
      </c>
      <c r="N296">
        <v>0</v>
      </c>
    </row>
    <row r="297" spans="9:14" x14ac:dyDescent="0.3">
      <c r="I297">
        <v>294</v>
      </c>
      <c r="J297">
        <v>2.9946734882419879</v>
      </c>
      <c r="K297">
        <v>0</v>
      </c>
      <c r="L297">
        <v>0</v>
      </c>
      <c r="M297">
        <v>2.9946734882419879</v>
      </c>
      <c r="N297">
        <v>1</v>
      </c>
    </row>
    <row r="298" spans="9:14" x14ac:dyDescent="0.3">
      <c r="I298">
        <v>295</v>
      </c>
      <c r="J298">
        <v>2.9374909901004931</v>
      </c>
      <c r="K298">
        <v>0</v>
      </c>
      <c r="L298">
        <v>0</v>
      </c>
      <c r="M298">
        <v>2.9374909901004931</v>
      </c>
      <c r="N298">
        <v>1</v>
      </c>
    </row>
    <row r="299" spans="9:14" x14ac:dyDescent="0.3">
      <c r="I299">
        <v>296</v>
      </c>
      <c r="J299">
        <v>2.0977819225042329</v>
      </c>
      <c r="K299">
        <v>1</v>
      </c>
      <c r="L299">
        <v>1.923636903351172</v>
      </c>
      <c r="M299">
        <v>4.0214188258554051</v>
      </c>
      <c r="N299">
        <v>0</v>
      </c>
    </row>
    <row r="300" spans="9:14" x14ac:dyDescent="0.3">
      <c r="I300">
        <v>297</v>
      </c>
      <c r="J300">
        <v>2.8686803666579368</v>
      </c>
      <c r="K300">
        <v>0</v>
      </c>
      <c r="L300">
        <v>0</v>
      </c>
      <c r="M300">
        <v>2.8686803666579368</v>
      </c>
      <c r="N300">
        <v>1</v>
      </c>
    </row>
    <row r="301" spans="9:14" x14ac:dyDescent="0.3">
      <c r="I301">
        <v>298</v>
      </c>
      <c r="J301">
        <v>3.3640001145096829</v>
      </c>
      <c r="K301">
        <v>0</v>
      </c>
      <c r="L301">
        <v>0</v>
      </c>
      <c r="M301">
        <v>3.3640001145096829</v>
      </c>
      <c r="N301">
        <v>0</v>
      </c>
    </row>
    <row r="302" spans="9:14" x14ac:dyDescent="0.3">
      <c r="I302">
        <v>299</v>
      </c>
      <c r="J302">
        <v>2.7984394278342859</v>
      </c>
      <c r="K302">
        <v>0</v>
      </c>
      <c r="L302">
        <v>0</v>
      </c>
      <c r="M302">
        <v>2.7984394278342859</v>
      </c>
      <c r="N302">
        <v>1</v>
      </c>
    </row>
    <row r="303" spans="9:14" x14ac:dyDescent="0.3">
      <c r="I303">
        <v>300</v>
      </c>
      <c r="J303">
        <v>3.7539338500450392</v>
      </c>
      <c r="K303">
        <v>0</v>
      </c>
      <c r="L303">
        <v>0</v>
      </c>
      <c r="M303">
        <v>3.7539338500450392</v>
      </c>
      <c r="N303">
        <v>0</v>
      </c>
    </row>
    <row r="304" spans="9:14" x14ac:dyDescent="0.3">
      <c r="I304">
        <v>301</v>
      </c>
      <c r="J304">
        <v>2.8791785034603592</v>
      </c>
      <c r="K304">
        <v>1</v>
      </c>
      <c r="L304">
        <v>1.5566371250060229</v>
      </c>
      <c r="M304">
        <v>4.4358156284663819</v>
      </c>
      <c r="N304">
        <v>0</v>
      </c>
    </row>
    <row r="305" spans="9:14" x14ac:dyDescent="0.3">
      <c r="I305">
        <v>302</v>
      </c>
      <c r="J305">
        <v>3.0038369161444911</v>
      </c>
      <c r="K305">
        <v>0</v>
      </c>
      <c r="L305">
        <v>0</v>
      </c>
      <c r="M305">
        <v>3.0038369161444911</v>
      </c>
      <c r="N305">
        <v>0</v>
      </c>
    </row>
    <row r="306" spans="9:14" x14ac:dyDescent="0.3">
      <c r="I306">
        <v>303</v>
      </c>
      <c r="J306">
        <v>2.8387997913535439</v>
      </c>
      <c r="K306">
        <v>0</v>
      </c>
      <c r="L306">
        <v>0</v>
      </c>
      <c r="M306">
        <v>2.8387997913535439</v>
      </c>
      <c r="N306">
        <v>1</v>
      </c>
    </row>
    <row r="307" spans="9:14" x14ac:dyDescent="0.3">
      <c r="I307">
        <v>304</v>
      </c>
      <c r="J307">
        <v>2.8374300136768631</v>
      </c>
      <c r="K307">
        <v>0</v>
      </c>
      <c r="L307">
        <v>0</v>
      </c>
      <c r="M307">
        <v>2.8374300136768631</v>
      </c>
      <c r="N307">
        <v>1</v>
      </c>
    </row>
    <row r="308" spans="9:14" x14ac:dyDescent="0.3">
      <c r="I308">
        <v>305</v>
      </c>
      <c r="J308">
        <v>3.8391304835398739</v>
      </c>
      <c r="K308">
        <v>0</v>
      </c>
      <c r="L308">
        <v>0</v>
      </c>
      <c r="M308">
        <v>3.8391304835398739</v>
      </c>
      <c r="N308">
        <v>0</v>
      </c>
    </row>
    <row r="309" spans="9:14" x14ac:dyDescent="0.3">
      <c r="I309">
        <v>306</v>
      </c>
      <c r="J309">
        <v>2.4851737880935278</v>
      </c>
      <c r="K309">
        <v>0</v>
      </c>
      <c r="L309">
        <v>0</v>
      </c>
      <c r="M309">
        <v>2.4851737880935278</v>
      </c>
      <c r="N309">
        <v>1</v>
      </c>
    </row>
    <row r="310" spans="9:14" x14ac:dyDescent="0.3">
      <c r="I310">
        <v>307</v>
      </c>
      <c r="J310">
        <v>3.070267341949434</v>
      </c>
      <c r="K310">
        <v>1</v>
      </c>
      <c r="L310">
        <v>1.4562196035867729</v>
      </c>
      <c r="M310">
        <v>4.5264869455362078</v>
      </c>
      <c r="N310">
        <v>0</v>
      </c>
    </row>
    <row r="311" spans="9:14" x14ac:dyDescent="0.3">
      <c r="I311">
        <v>308</v>
      </c>
      <c r="J311">
        <v>3.2472186871194268</v>
      </c>
      <c r="K311">
        <v>0</v>
      </c>
      <c r="L311">
        <v>0</v>
      </c>
      <c r="M311">
        <v>3.2472186871194268</v>
      </c>
      <c r="N311">
        <v>0</v>
      </c>
    </row>
    <row r="312" spans="9:14" x14ac:dyDescent="0.3">
      <c r="I312">
        <v>309</v>
      </c>
      <c r="J312">
        <v>3.470219948806323</v>
      </c>
      <c r="K312">
        <v>0</v>
      </c>
      <c r="L312">
        <v>0</v>
      </c>
      <c r="M312">
        <v>3.470219948806323</v>
      </c>
      <c r="N312">
        <v>0</v>
      </c>
    </row>
    <row r="313" spans="9:14" x14ac:dyDescent="0.3">
      <c r="I313">
        <v>310</v>
      </c>
      <c r="J313">
        <v>2.355623771438855</v>
      </c>
      <c r="K313">
        <v>0</v>
      </c>
      <c r="L313">
        <v>0</v>
      </c>
      <c r="M313">
        <v>2.355623771438855</v>
      </c>
      <c r="N313">
        <v>1</v>
      </c>
    </row>
    <row r="314" spans="9:14" x14ac:dyDescent="0.3">
      <c r="I314">
        <v>311</v>
      </c>
      <c r="J314">
        <v>4.3013175540448536</v>
      </c>
      <c r="K314">
        <v>0</v>
      </c>
      <c r="L314">
        <v>0</v>
      </c>
      <c r="M314">
        <v>4.3013175540448536</v>
      </c>
      <c r="N314">
        <v>0</v>
      </c>
    </row>
    <row r="315" spans="9:14" x14ac:dyDescent="0.3">
      <c r="I315">
        <v>312</v>
      </c>
      <c r="J315">
        <v>2.3802565263703901</v>
      </c>
      <c r="K315">
        <v>0</v>
      </c>
      <c r="L315">
        <v>0</v>
      </c>
      <c r="M315">
        <v>2.3802565263703901</v>
      </c>
      <c r="N315">
        <v>1</v>
      </c>
    </row>
    <row r="316" spans="9:14" x14ac:dyDescent="0.3">
      <c r="I316">
        <v>313</v>
      </c>
      <c r="J316">
        <v>3.1883001306368932</v>
      </c>
      <c r="K316">
        <v>1</v>
      </c>
      <c r="L316">
        <v>1.7167560544419149</v>
      </c>
      <c r="M316">
        <v>4.9050561850788084</v>
      </c>
      <c r="N316">
        <v>0</v>
      </c>
    </row>
    <row r="317" spans="9:14" x14ac:dyDescent="0.3">
      <c r="I317">
        <v>314</v>
      </c>
      <c r="J317">
        <v>4.0381937839222646</v>
      </c>
      <c r="K317">
        <v>0</v>
      </c>
      <c r="L317">
        <v>0</v>
      </c>
      <c r="M317">
        <v>4.0381937839222646</v>
      </c>
      <c r="N317">
        <v>0</v>
      </c>
    </row>
    <row r="318" spans="9:14" x14ac:dyDescent="0.3">
      <c r="I318">
        <v>315</v>
      </c>
      <c r="J318">
        <v>4.6220244129659651</v>
      </c>
      <c r="K318">
        <v>0</v>
      </c>
      <c r="L318">
        <v>0</v>
      </c>
      <c r="M318">
        <v>4.6220244129659651</v>
      </c>
      <c r="N318">
        <v>0</v>
      </c>
    </row>
    <row r="319" spans="9:14" x14ac:dyDescent="0.3">
      <c r="I319">
        <v>316</v>
      </c>
      <c r="J319">
        <v>3.5564606510672458</v>
      </c>
      <c r="K319">
        <v>0</v>
      </c>
      <c r="L319">
        <v>0</v>
      </c>
      <c r="M319">
        <v>3.5564606510672458</v>
      </c>
      <c r="N319">
        <v>0</v>
      </c>
    </row>
    <row r="320" spans="9:14" x14ac:dyDescent="0.3">
      <c r="I320">
        <v>317</v>
      </c>
      <c r="J320">
        <v>3.0447174872046512</v>
      </c>
      <c r="K320">
        <v>0</v>
      </c>
      <c r="L320">
        <v>0</v>
      </c>
      <c r="M320">
        <v>3.0447174872046512</v>
      </c>
      <c r="N320">
        <v>0</v>
      </c>
    </row>
    <row r="321" spans="9:14" x14ac:dyDescent="0.3">
      <c r="I321">
        <v>318</v>
      </c>
      <c r="J321">
        <v>3.5606619279792469</v>
      </c>
      <c r="K321">
        <v>1</v>
      </c>
      <c r="L321">
        <v>1.9128902024322001</v>
      </c>
      <c r="M321">
        <v>5.4735521304114467</v>
      </c>
      <c r="N321">
        <v>0</v>
      </c>
    </row>
    <row r="322" spans="9:14" x14ac:dyDescent="0.3">
      <c r="I322">
        <v>319</v>
      </c>
      <c r="J322">
        <v>3.82083428131887</v>
      </c>
      <c r="K322">
        <v>1</v>
      </c>
      <c r="L322">
        <v>1.152227024440156</v>
      </c>
      <c r="M322">
        <v>4.9730613057590256</v>
      </c>
      <c r="N322">
        <v>0</v>
      </c>
    </row>
    <row r="323" spans="9:14" x14ac:dyDescent="0.3">
      <c r="I323">
        <v>320</v>
      </c>
      <c r="J323">
        <v>2.920797182324375</v>
      </c>
      <c r="K323">
        <v>1</v>
      </c>
      <c r="L323">
        <v>1.108266940812916</v>
      </c>
      <c r="M323">
        <v>4.0290641231372906</v>
      </c>
      <c r="N323">
        <v>0</v>
      </c>
    </row>
    <row r="324" spans="9:14" x14ac:dyDescent="0.3">
      <c r="I324">
        <v>321</v>
      </c>
      <c r="J324">
        <v>2.970999943361313</v>
      </c>
      <c r="K324">
        <v>0</v>
      </c>
      <c r="L324">
        <v>0</v>
      </c>
      <c r="M324">
        <v>2.970999943361313</v>
      </c>
      <c r="N324">
        <v>1</v>
      </c>
    </row>
    <row r="325" spans="9:14" x14ac:dyDescent="0.3">
      <c r="I325">
        <v>322</v>
      </c>
      <c r="J325">
        <v>2.8981242866759112</v>
      </c>
      <c r="K325">
        <v>0</v>
      </c>
      <c r="L325">
        <v>0</v>
      </c>
      <c r="M325">
        <v>2.8981242866759112</v>
      </c>
      <c r="N325">
        <v>1</v>
      </c>
    </row>
    <row r="326" spans="9:14" x14ac:dyDescent="0.3">
      <c r="I326">
        <v>323</v>
      </c>
      <c r="J326">
        <v>3.9859078711219231</v>
      </c>
      <c r="K326">
        <v>0</v>
      </c>
      <c r="L326">
        <v>0</v>
      </c>
      <c r="M326">
        <v>3.9859078711219231</v>
      </c>
      <c r="N326">
        <v>0</v>
      </c>
    </row>
    <row r="327" spans="9:14" x14ac:dyDescent="0.3">
      <c r="I327">
        <v>324</v>
      </c>
      <c r="J327">
        <v>2.6760028740287289</v>
      </c>
      <c r="K327">
        <v>0</v>
      </c>
      <c r="L327">
        <v>0</v>
      </c>
      <c r="M327">
        <v>2.6760028740287289</v>
      </c>
      <c r="N327">
        <v>1</v>
      </c>
    </row>
    <row r="328" spans="9:14" x14ac:dyDescent="0.3">
      <c r="I328">
        <v>325</v>
      </c>
      <c r="J328">
        <v>2.6011010641346011</v>
      </c>
      <c r="K328">
        <v>0</v>
      </c>
      <c r="L328">
        <v>0</v>
      </c>
      <c r="M328">
        <v>2.6011010641346011</v>
      </c>
      <c r="N328">
        <v>1</v>
      </c>
    </row>
    <row r="329" spans="9:14" x14ac:dyDescent="0.3">
      <c r="I329">
        <v>326</v>
      </c>
      <c r="J329">
        <v>2.747197874577286</v>
      </c>
      <c r="K329">
        <v>0</v>
      </c>
      <c r="L329">
        <v>0</v>
      </c>
      <c r="M329">
        <v>2.747197874577286</v>
      </c>
      <c r="N329">
        <v>1</v>
      </c>
    </row>
    <row r="330" spans="9:14" x14ac:dyDescent="0.3">
      <c r="I330">
        <v>327</v>
      </c>
      <c r="J330">
        <v>3.998607336328555</v>
      </c>
      <c r="K330">
        <v>0</v>
      </c>
      <c r="L330">
        <v>0</v>
      </c>
      <c r="M330">
        <v>3.998607336328555</v>
      </c>
      <c r="N330">
        <v>0</v>
      </c>
    </row>
    <row r="331" spans="9:14" x14ac:dyDescent="0.3">
      <c r="I331">
        <v>328</v>
      </c>
      <c r="J331">
        <v>3.395227178678867</v>
      </c>
      <c r="K331">
        <v>1</v>
      </c>
      <c r="L331">
        <v>1.7732270626297739</v>
      </c>
      <c r="M331">
        <v>5.1684542413086412</v>
      </c>
      <c r="N331">
        <v>0</v>
      </c>
    </row>
    <row r="332" spans="9:14" x14ac:dyDescent="0.3">
      <c r="I332">
        <v>329</v>
      </c>
      <c r="J332">
        <v>3.5535583037271499</v>
      </c>
      <c r="K332">
        <v>0</v>
      </c>
      <c r="L332">
        <v>0</v>
      </c>
      <c r="M332">
        <v>3.5535583037271499</v>
      </c>
      <c r="N332">
        <v>0</v>
      </c>
    </row>
    <row r="333" spans="9:14" x14ac:dyDescent="0.3">
      <c r="I333">
        <v>330</v>
      </c>
      <c r="J333">
        <v>3.132694574908542</v>
      </c>
      <c r="K333">
        <v>1</v>
      </c>
      <c r="L333">
        <v>1.010037083343942</v>
      </c>
      <c r="M333">
        <v>4.1427316582524831</v>
      </c>
      <c r="N333">
        <v>0</v>
      </c>
    </row>
    <row r="334" spans="9:14" x14ac:dyDescent="0.3">
      <c r="I334">
        <v>331</v>
      </c>
      <c r="J334">
        <v>3.0137986860072719</v>
      </c>
      <c r="K334">
        <v>0</v>
      </c>
      <c r="L334">
        <v>0</v>
      </c>
      <c r="M334">
        <v>3.0137986860072719</v>
      </c>
      <c r="N334">
        <v>0</v>
      </c>
    </row>
    <row r="335" spans="9:14" x14ac:dyDescent="0.3">
      <c r="I335">
        <v>332</v>
      </c>
      <c r="J335">
        <v>3.445739175516473</v>
      </c>
      <c r="K335">
        <v>1</v>
      </c>
      <c r="L335">
        <v>1.583965387015343</v>
      </c>
      <c r="M335">
        <v>5.0297045625318164</v>
      </c>
      <c r="N335">
        <v>0</v>
      </c>
    </row>
    <row r="336" spans="9:14" x14ac:dyDescent="0.3">
      <c r="I336">
        <v>333</v>
      </c>
      <c r="J336">
        <v>2.9050367819236</v>
      </c>
      <c r="K336">
        <v>0</v>
      </c>
      <c r="L336">
        <v>0</v>
      </c>
      <c r="M336">
        <v>2.9050367819236</v>
      </c>
      <c r="N336">
        <v>1</v>
      </c>
    </row>
    <row r="337" spans="9:14" x14ac:dyDescent="0.3">
      <c r="I337">
        <v>334</v>
      </c>
      <c r="J337">
        <v>3.1291451730962661</v>
      </c>
      <c r="K337">
        <v>1</v>
      </c>
      <c r="L337">
        <v>1.8514886108223869</v>
      </c>
      <c r="M337">
        <v>4.9806337839186527</v>
      </c>
      <c r="N337">
        <v>0</v>
      </c>
    </row>
    <row r="338" spans="9:14" x14ac:dyDescent="0.3">
      <c r="I338">
        <v>335</v>
      </c>
      <c r="J338">
        <v>2.734617858921625</v>
      </c>
      <c r="K338">
        <v>1</v>
      </c>
      <c r="L338">
        <v>1.408176225039969</v>
      </c>
      <c r="M338">
        <v>4.1427940839615944</v>
      </c>
      <c r="N338">
        <v>0</v>
      </c>
    </row>
    <row r="339" spans="9:14" x14ac:dyDescent="0.3">
      <c r="I339">
        <v>336</v>
      </c>
      <c r="J339">
        <v>3.8730849519980128</v>
      </c>
      <c r="K339">
        <v>1</v>
      </c>
      <c r="L339">
        <v>1.4471680174848101</v>
      </c>
      <c r="M339">
        <v>5.3202529694828229</v>
      </c>
      <c r="N339">
        <v>0</v>
      </c>
    </row>
    <row r="340" spans="9:14" x14ac:dyDescent="0.3">
      <c r="I340">
        <v>337</v>
      </c>
      <c r="J340">
        <v>2.8333307471057081</v>
      </c>
      <c r="K340">
        <v>1</v>
      </c>
      <c r="L340">
        <v>1.442618107237124</v>
      </c>
      <c r="M340">
        <v>4.2759488543428326</v>
      </c>
      <c r="N340">
        <v>0</v>
      </c>
    </row>
    <row r="341" spans="9:14" x14ac:dyDescent="0.3">
      <c r="I341">
        <v>338</v>
      </c>
      <c r="J341">
        <v>3.3006888014758422</v>
      </c>
      <c r="K341">
        <v>0</v>
      </c>
      <c r="L341">
        <v>0</v>
      </c>
      <c r="M341">
        <v>3.3006888014758422</v>
      </c>
      <c r="N341">
        <v>0</v>
      </c>
    </row>
    <row r="342" spans="9:14" x14ac:dyDescent="0.3">
      <c r="I342">
        <v>339</v>
      </c>
      <c r="J342">
        <v>2.678804198290806</v>
      </c>
      <c r="K342">
        <v>0</v>
      </c>
      <c r="L342">
        <v>0</v>
      </c>
      <c r="M342">
        <v>2.678804198290806</v>
      </c>
      <c r="N342">
        <v>1</v>
      </c>
    </row>
    <row r="343" spans="9:14" x14ac:dyDescent="0.3">
      <c r="I343">
        <v>340</v>
      </c>
      <c r="J343">
        <v>3.715940951135555</v>
      </c>
      <c r="K343">
        <v>0</v>
      </c>
      <c r="L343">
        <v>0</v>
      </c>
      <c r="M343">
        <v>3.715940951135555</v>
      </c>
      <c r="N343">
        <v>0</v>
      </c>
    </row>
    <row r="344" spans="9:14" x14ac:dyDescent="0.3">
      <c r="I344">
        <v>341</v>
      </c>
      <c r="J344">
        <v>3.753047576346956</v>
      </c>
      <c r="K344">
        <v>1</v>
      </c>
      <c r="L344">
        <v>1.7231581495596691</v>
      </c>
      <c r="M344">
        <v>5.4762057259066257</v>
      </c>
      <c r="N344">
        <v>0</v>
      </c>
    </row>
    <row r="345" spans="9:14" x14ac:dyDescent="0.3">
      <c r="I345">
        <v>342</v>
      </c>
      <c r="J345">
        <v>2.6437678486160001</v>
      </c>
      <c r="K345">
        <v>0</v>
      </c>
      <c r="L345">
        <v>0</v>
      </c>
      <c r="M345">
        <v>2.6437678486160001</v>
      </c>
      <c r="N345">
        <v>1</v>
      </c>
    </row>
    <row r="346" spans="9:14" x14ac:dyDescent="0.3">
      <c r="I346">
        <v>343</v>
      </c>
      <c r="J346">
        <v>3.618811532804326</v>
      </c>
      <c r="K346">
        <v>1</v>
      </c>
      <c r="L346">
        <v>1.484856269214563</v>
      </c>
      <c r="M346">
        <v>5.1036678020188884</v>
      </c>
      <c r="N346">
        <v>0</v>
      </c>
    </row>
    <row r="347" spans="9:14" x14ac:dyDescent="0.3">
      <c r="I347">
        <v>344</v>
      </c>
      <c r="J347">
        <v>2.4392219689181021</v>
      </c>
      <c r="K347">
        <v>1</v>
      </c>
      <c r="L347">
        <v>1.767094326024002</v>
      </c>
      <c r="M347">
        <v>4.2063162949421038</v>
      </c>
      <c r="N347">
        <v>0</v>
      </c>
    </row>
    <row r="348" spans="9:14" x14ac:dyDescent="0.3">
      <c r="I348">
        <v>345</v>
      </c>
      <c r="J348">
        <v>3.9528403160466321</v>
      </c>
      <c r="K348">
        <v>0</v>
      </c>
      <c r="L348">
        <v>0</v>
      </c>
      <c r="M348">
        <v>3.9528403160466321</v>
      </c>
      <c r="N348">
        <v>0</v>
      </c>
    </row>
    <row r="349" spans="9:14" x14ac:dyDescent="0.3">
      <c r="I349">
        <v>346</v>
      </c>
      <c r="J349">
        <v>3.0496789052243058</v>
      </c>
      <c r="K349">
        <v>0</v>
      </c>
      <c r="L349">
        <v>0</v>
      </c>
      <c r="M349">
        <v>3.0496789052243058</v>
      </c>
      <c r="N349">
        <v>0</v>
      </c>
    </row>
    <row r="350" spans="9:14" x14ac:dyDescent="0.3">
      <c r="I350">
        <v>347</v>
      </c>
      <c r="J350">
        <v>2.6188107829061469</v>
      </c>
      <c r="K350">
        <v>0</v>
      </c>
      <c r="L350">
        <v>0</v>
      </c>
      <c r="M350">
        <v>2.6188107829061469</v>
      </c>
      <c r="N350">
        <v>1</v>
      </c>
    </row>
    <row r="351" spans="9:14" x14ac:dyDescent="0.3">
      <c r="I351">
        <v>348</v>
      </c>
      <c r="J351">
        <v>3.752333269426801</v>
      </c>
      <c r="K351">
        <v>1</v>
      </c>
      <c r="L351">
        <v>1.7506924708236511</v>
      </c>
      <c r="M351">
        <v>5.5030257402504521</v>
      </c>
      <c r="N351">
        <v>0</v>
      </c>
    </row>
    <row r="352" spans="9:14" x14ac:dyDescent="0.3">
      <c r="I352">
        <v>349</v>
      </c>
      <c r="J352">
        <v>3.6595257139546709</v>
      </c>
      <c r="K352">
        <v>0</v>
      </c>
      <c r="L352">
        <v>0</v>
      </c>
      <c r="M352">
        <v>3.6595257139546709</v>
      </c>
      <c r="N352">
        <v>0</v>
      </c>
    </row>
    <row r="353" spans="9:14" x14ac:dyDescent="0.3">
      <c r="I353">
        <v>350</v>
      </c>
      <c r="J353">
        <v>2.695547595637771</v>
      </c>
      <c r="K353">
        <v>1</v>
      </c>
      <c r="L353">
        <v>1.9170553269741051</v>
      </c>
      <c r="M353">
        <v>4.6126029226118774</v>
      </c>
      <c r="N353">
        <v>0</v>
      </c>
    </row>
    <row r="354" spans="9:14" x14ac:dyDescent="0.3">
      <c r="I354">
        <v>351</v>
      </c>
      <c r="J354">
        <v>2.8549541493522561</v>
      </c>
      <c r="K354">
        <v>0</v>
      </c>
      <c r="L354">
        <v>0</v>
      </c>
      <c r="M354">
        <v>2.8549541493522561</v>
      </c>
      <c r="N354">
        <v>1</v>
      </c>
    </row>
    <row r="355" spans="9:14" x14ac:dyDescent="0.3">
      <c r="I355">
        <v>352</v>
      </c>
      <c r="J355">
        <v>3.739308608516887</v>
      </c>
      <c r="K355">
        <v>1</v>
      </c>
      <c r="L355">
        <v>1.439276738169494</v>
      </c>
      <c r="M355">
        <v>5.1785853466863809</v>
      </c>
      <c r="N355">
        <v>0</v>
      </c>
    </row>
    <row r="356" spans="9:14" x14ac:dyDescent="0.3">
      <c r="I356">
        <v>353</v>
      </c>
      <c r="J356">
        <v>3.731218329990762</v>
      </c>
      <c r="K356">
        <v>0</v>
      </c>
      <c r="L356">
        <v>0</v>
      </c>
      <c r="M356">
        <v>3.731218329990762</v>
      </c>
      <c r="N356">
        <v>0</v>
      </c>
    </row>
    <row r="357" spans="9:14" x14ac:dyDescent="0.3">
      <c r="I357">
        <v>354</v>
      </c>
      <c r="J357">
        <v>3.6181095837291908</v>
      </c>
      <c r="K357">
        <v>1</v>
      </c>
      <c r="L357">
        <v>1.06639172448457</v>
      </c>
      <c r="M357">
        <v>4.6845013082137612</v>
      </c>
      <c r="N357">
        <v>0</v>
      </c>
    </row>
    <row r="358" spans="9:14" x14ac:dyDescent="0.3">
      <c r="I358">
        <v>355</v>
      </c>
      <c r="J358">
        <v>2.9768153417606782</v>
      </c>
      <c r="K358">
        <v>0</v>
      </c>
      <c r="L358">
        <v>0</v>
      </c>
      <c r="M358">
        <v>2.9768153417606782</v>
      </c>
      <c r="N358">
        <v>1</v>
      </c>
    </row>
    <row r="359" spans="9:14" x14ac:dyDescent="0.3">
      <c r="I359">
        <v>356</v>
      </c>
      <c r="J359">
        <v>3.1498995067312241</v>
      </c>
      <c r="K359">
        <v>1</v>
      </c>
      <c r="L359">
        <v>1.381684193102056</v>
      </c>
      <c r="M359">
        <v>4.5315836998332797</v>
      </c>
      <c r="N359">
        <v>0</v>
      </c>
    </row>
    <row r="360" spans="9:14" x14ac:dyDescent="0.3">
      <c r="I360">
        <v>357</v>
      </c>
      <c r="J360">
        <v>3.4155082566909392</v>
      </c>
      <c r="K360">
        <v>1</v>
      </c>
      <c r="L360">
        <v>1.7598655270660351</v>
      </c>
      <c r="M360">
        <v>5.1753737837569744</v>
      </c>
      <c r="N360">
        <v>0</v>
      </c>
    </row>
    <row r="361" spans="9:14" x14ac:dyDescent="0.3">
      <c r="I361">
        <v>358</v>
      </c>
      <c r="J361">
        <v>4.2364332886854053</v>
      </c>
      <c r="K361">
        <v>0</v>
      </c>
      <c r="L361">
        <v>0</v>
      </c>
      <c r="M361">
        <v>4.2364332886854053</v>
      </c>
      <c r="N361">
        <v>0</v>
      </c>
    </row>
    <row r="362" spans="9:14" x14ac:dyDescent="0.3">
      <c r="I362">
        <v>359</v>
      </c>
      <c r="J362">
        <v>3.747304309249972</v>
      </c>
      <c r="K362">
        <v>0</v>
      </c>
      <c r="L362">
        <v>0</v>
      </c>
      <c r="M362">
        <v>3.747304309249972</v>
      </c>
      <c r="N362">
        <v>0</v>
      </c>
    </row>
    <row r="363" spans="9:14" x14ac:dyDescent="0.3">
      <c r="I363">
        <v>360</v>
      </c>
      <c r="J363">
        <v>3.2027275300098861</v>
      </c>
      <c r="K363">
        <v>1</v>
      </c>
      <c r="L363">
        <v>1.618435358056765</v>
      </c>
      <c r="M363">
        <v>4.8211628880666506</v>
      </c>
      <c r="N363">
        <v>0</v>
      </c>
    </row>
    <row r="364" spans="9:14" x14ac:dyDescent="0.3">
      <c r="I364">
        <v>361</v>
      </c>
      <c r="J364">
        <v>3.124850409717534</v>
      </c>
      <c r="K364">
        <v>0</v>
      </c>
      <c r="L364">
        <v>0</v>
      </c>
      <c r="M364">
        <v>3.124850409717534</v>
      </c>
      <c r="N364">
        <v>0</v>
      </c>
    </row>
    <row r="365" spans="9:14" x14ac:dyDescent="0.3">
      <c r="I365">
        <v>362</v>
      </c>
      <c r="J365">
        <v>3.0549878798151582</v>
      </c>
      <c r="K365">
        <v>0</v>
      </c>
      <c r="L365">
        <v>0</v>
      </c>
      <c r="M365">
        <v>3.0549878798151582</v>
      </c>
      <c r="N365">
        <v>0</v>
      </c>
    </row>
    <row r="366" spans="9:14" x14ac:dyDescent="0.3">
      <c r="I366">
        <v>363</v>
      </c>
      <c r="J366">
        <v>2.0748802769894521</v>
      </c>
      <c r="K366">
        <v>1</v>
      </c>
      <c r="L366">
        <v>1.349459643828594</v>
      </c>
      <c r="M366">
        <v>3.4243399208180469</v>
      </c>
      <c r="N366">
        <v>0</v>
      </c>
    </row>
    <row r="367" spans="9:14" x14ac:dyDescent="0.3">
      <c r="I367">
        <v>364</v>
      </c>
      <c r="J367">
        <v>2.1498847997303452</v>
      </c>
      <c r="K367">
        <v>0</v>
      </c>
      <c r="L367">
        <v>0</v>
      </c>
      <c r="M367">
        <v>2.1498847997303452</v>
      </c>
      <c r="N367">
        <v>1</v>
      </c>
    </row>
    <row r="368" spans="9:14" x14ac:dyDescent="0.3">
      <c r="I368">
        <v>365</v>
      </c>
      <c r="J368">
        <v>3.5593343560216142</v>
      </c>
      <c r="K368">
        <v>0</v>
      </c>
      <c r="L368">
        <v>0</v>
      </c>
      <c r="M368">
        <v>3.5593343560216142</v>
      </c>
      <c r="N368">
        <v>0</v>
      </c>
    </row>
    <row r="369" spans="9:14" x14ac:dyDescent="0.3">
      <c r="I369">
        <v>366</v>
      </c>
      <c r="J369">
        <v>2.7557334515656291</v>
      </c>
      <c r="K369">
        <v>0</v>
      </c>
      <c r="L369">
        <v>0</v>
      </c>
      <c r="M369">
        <v>2.7557334515656291</v>
      </c>
      <c r="N369">
        <v>1</v>
      </c>
    </row>
    <row r="370" spans="9:14" x14ac:dyDescent="0.3">
      <c r="I370">
        <v>367</v>
      </c>
      <c r="J370">
        <v>2.7928622282351681</v>
      </c>
      <c r="K370">
        <v>0</v>
      </c>
      <c r="L370">
        <v>0</v>
      </c>
      <c r="M370">
        <v>2.7928622282351681</v>
      </c>
      <c r="N370">
        <v>1</v>
      </c>
    </row>
    <row r="371" spans="9:14" x14ac:dyDescent="0.3">
      <c r="I371">
        <v>368</v>
      </c>
      <c r="J371">
        <v>2.6344439890758129</v>
      </c>
      <c r="K371">
        <v>1</v>
      </c>
      <c r="L371">
        <v>1.9648476975504241</v>
      </c>
      <c r="M371">
        <v>4.5992916866262377</v>
      </c>
      <c r="N371">
        <v>0</v>
      </c>
    </row>
    <row r="372" spans="9:14" x14ac:dyDescent="0.3">
      <c r="I372">
        <v>369</v>
      </c>
      <c r="J372">
        <v>2.6968573535750662</v>
      </c>
      <c r="K372">
        <v>0</v>
      </c>
      <c r="L372">
        <v>0</v>
      </c>
      <c r="M372">
        <v>2.6968573535750662</v>
      </c>
      <c r="N372">
        <v>1</v>
      </c>
    </row>
    <row r="373" spans="9:14" x14ac:dyDescent="0.3">
      <c r="I373">
        <v>370</v>
      </c>
      <c r="J373">
        <v>3.24890882340739</v>
      </c>
      <c r="K373">
        <v>0</v>
      </c>
      <c r="L373">
        <v>0</v>
      </c>
      <c r="M373">
        <v>3.24890882340739</v>
      </c>
      <c r="N373">
        <v>0</v>
      </c>
    </row>
    <row r="374" spans="9:14" x14ac:dyDescent="0.3">
      <c r="I374">
        <v>371</v>
      </c>
      <c r="J374">
        <v>4.3908767535847799</v>
      </c>
      <c r="K374">
        <v>0</v>
      </c>
      <c r="L374">
        <v>0</v>
      </c>
      <c r="M374">
        <v>4.3908767535847799</v>
      </c>
      <c r="N374">
        <v>0</v>
      </c>
    </row>
    <row r="375" spans="9:14" x14ac:dyDescent="0.3">
      <c r="I375">
        <v>372</v>
      </c>
      <c r="J375">
        <v>3.1630641579114358</v>
      </c>
      <c r="K375">
        <v>1</v>
      </c>
      <c r="L375">
        <v>1.9530004731514921</v>
      </c>
      <c r="M375">
        <v>5.1160646310629279</v>
      </c>
      <c r="N375">
        <v>0</v>
      </c>
    </row>
    <row r="376" spans="9:14" x14ac:dyDescent="0.3">
      <c r="I376">
        <v>373</v>
      </c>
      <c r="J376">
        <v>2.8345801557991539</v>
      </c>
      <c r="K376">
        <v>0</v>
      </c>
      <c r="L376">
        <v>0</v>
      </c>
      <c r="M376">
        <v>2.8345801557991539</v>
      </c>
      <c r="N376">
        <v>1</v>
      </c>
    </row>
    <row r="377" spans="9:14" x14ac:dyDescent="0.3">
      <c r="I377">
        <v>374</v>
      </c>
      <c r="J377">
        <v>3.3179053368017741</v>
      </c>
      <c r="K377">
        <v>0</v>
      </c>
      <c r="L377">
        <v>0</v>
      </c>
      <c r="M377">
        <v>3.3179053368017741</v>
      </c>
      <c r="N377">
        <v>0</v>
      </c>
    </row>
    <row r="378" spans="9:14" x14ac:dyDescent="0.3">
      <c r="I378">
        <v>375</v>
      </c>
      <c r="J378">
        <v>4.0293344351069713</v>
      </c>
      <c r="K378">
        <v>0</v>
      </c>
      <c r="L378">
        <v>0</v>
      </c>
      <c r="M378">
        <v>4.0293344351069713</v>
      </c>
      <c r="N378">
        <v>0</v>
      </c>
    </row>
    <row r="379" spans="9:14" x14ac:dyDescent="0.3">
      <c r="I379">
        <v>376</v>
      </c>
      <c r="J379">
        <v>3.7771454052753759</v>
      </c>
      <c r="K379">
        <v>0</v>
      </c>
      <c r="L379">
        <v>0</v>
      </c>
      <c r="M379">
        <v>3.7771454052753759</v>
      </c>
      <c r="N379">
        <v>0</v>
      </c>
    </row>
    <row r="380" spans="9:14" x14ac:dyDescent="0.3">
      <c r="I380">
        <v>377</v>
      </c>
      <c r="J380">
        <v>2.5338686691565342</v>
      </c>
      <c r="K380">
        <v>0</v>
      </c>
      <c r="L380">
        <v>0</v>
      </c>
      <c r="M380">
        <v>2.5338686691565342</v>
      </c>
      <c r="N380">
        <v>1</v>
      </c>
    </row>
    <row r="381" spans="9:14" x14ac:dyDescent="0.3">
      <c r="I381">
        <v>378</v>
      </c>
      <c r="J381">
        <v>3.8607281252688321</v>
      </c>
      <c r="K381">
        <v>0</v>
      </c>
      <c r="L381">
        <v>0</v>
      </c>
      <c r="M381">
        <v>3.8607281252688321</v>
      </c>
      <c r="N381">
        <v>0</v>
      </c>
    </row>
    <row r="382" spans="9:14" x14ac:dyDescent="0.3">
      <c r="I382">
        <v>379</v>
      </c>
      <c r="J382">
        <v>3.924916442734812</v>
      </c>
      <c r="K382">
        <v>0</v>
      </c>
      <c r="L382">
        <v>0</v>
      </c>
      <c r="M382">
        <v>3.924916442734812</v>
      </c>
      <c r="N382">
        <v>0</v>
      </c>
    </row>
    <row r="383" spans="9:14" x14ac:dyDescent="0.3">
      <c r="I383">
        <v>380</v>
      </c>
      <c r="J383">
        <v>2.8797210923449379</v>
      </c>
      <c r="K383">
        <v>0</v>
      </c>
      <c r="L383">
        <v>0</v>
      </c>
      <c r="M383">
        <v>2.8797210923449379</v>
      </c>
      <c r="N383">
        <v>1</v>
      </c>
    </row>
    <row r="384" spans="9:14" x14ac:dyDescent="0.3">
      <c r="I384">
        <v>381</v>
      </c>
      <c r="J384">
        <v>3.0995269708215152</v>
      </c>
      <c r="K384">
        <v>0</v>
      </c>
      <c r="L384">
        <v>0</v>
      </c>
      <c r="M384">
        <v>3.0995269708215152</v>
      </c>
      <c r="N384">
        <v>0</v>
      </c>
    </row>
    <row r="385" spans="9:14" x14ac:dyDescent="0.3">
      <c r="I385">
        <v>382</v>
      </c>
      <c r="J385">
        <v>3.9607333468527059</v>
      </c>
      <c r="K385">
        <v>1</v>
      </c>
      <c r="L385">
        <v>1.123715819389604</v>
      </c>
      <c r="M385">
        <v>5.0844491662423099</v>
      </c>
      <c r="N385">
        <v>0</v>
      </c>
    </row>
    <row r="386" spans="9:14" x14ac:dyDescent="0.3">
      <c r="I386">
        <v>383</v>
      </c>
      <c r="J386">
        <v>3.4626024260775008</v>
      </c>
      <c r="K386">
        <v>0</v>
      </c>
      <c r="L386">
        <v>0</v>
      </c>
      <c r="M386">
        <v>3.4626024260775008</v>
      </c>
      <c r="N386">
        <v>0</v>
      </c>
    </row>
    <row r="387" spans="9:14" x14ac:dyDescent="0.3">
      <c r="I387">
        <v>384</v>
      </c>
      <c r="J387">
        <v>3.2100920458746778</v>
      </c>
      <c r="K387">
        <v>0</v>
      </c>
      <c r="L387">
        <v>0</v>
      </c>
      <c r="M387">
        <v>3.2100920458746778</v>
      </c>
      <c r="N387">
        <v>0</v>
      </c>
    </row>
    <row r="388" spans="9:14" x14ac:dyDescent="0.3">
      <c r="I388">
        <v>385</v>
      </c>
      <c r="J388">
        <v>3.7811975701611229</v>
      </c>
      <c r="K388">
        <v>0</v>
      </c>
      <c r="L388">
        <v>0</v>
      </c>
      <c r="M388">
        <v>3.7811975701611229</v>
      </c>
      <c r="N388">
        <v>0</v>
      </c>
    </row>
    <row r="389" spans="9:14" x14ac:dyDescent="0.3">
      <c r="I389">
        <v>386</v>
      </c>
      <c r="J389">
        <v>3.6537963453793481</v>
      </c>
      <c r="K389">
        <v>0</v>
      </c>
      <c r="L389">
        <v>0</v>
      </c>
      <c r="M389">
        <v>3.6537963453793481</v>
      </c>
      <c r="N389">
        <v>0</v>
      </c>
    </row>
    <row r="390" spans="9:14" x14ac:dyDescent="0.3">
      <c r="I390">
        <v>387</v>
      </c>
      <c r="J390">
        <v>3.7683670342132789</v>
      </c>
      <c r="K390">
        <v>1</v>
      </c>
      <c r="L390">
        <v>1.07156417408269</v>
      </c>
      <c r="M390">
        <v>4.8399312082959689</v>
      </c>
      <c r="N390">
        <v>0</v>
      </c>
    </row>
    <row r="391" spans="9:14" x14ac:dyDescent="0.3">
      <c r="I391">
        <v>388</v>
      </c>
      <c r="J391">
        <v>2.1383998602850189</v>
      </c>
      <c r="K391">
        <v>0</v>
      </c>
      <c r="L391">
        <v>0</v>
      </c>
      <c r="M391">
        <v>2.1383998602850189</v>
      </c>
      <c r="N391">
        <v>1</v>
      </c>
    </row>
    <row r="392" spans="9:14" x14ac:dyDescent="0.3">
      <c r="I392">
        <v>389</v>
      </c>
      <c r="J392">
        <v>3.4824155274748039</v>
      </c>
      <c r="K392">
        <v>1</v>
      </c>
      <c r="L392">
        <v>1.831286501228129</v>
      </c>
      <c r="M392">
        <v>5.3137020287029326</v>
      </c>
      <c r="N392">
        <v>0</v>
      </c>
    </row>
    <row r="393" spans="9:14" x14ac:dyDescent="0.3">
      <c r="I393">
        <v>390</v>
      </c>
      <c r="J393">
        <v>3.392398763667924</v>
      </c>
      <c r="K393">
        <v>1</v>
      </c>
      <c r="L393">
        <v>1.2457302247304309</v>
      </c>
      <c r="M393">
        <v>4.6381289883983552</v>
      </c>
      <c r="N393">
        <v>0</v>
      </c>
    </row>
    <row r="394" spans="9:14" x14ac:dyDescent="0.3">
      <c r="I394">
        <v>391</v>
      </c>
      <c r="J394">
        <v>2.6919126574988739</v>
      </c>
      <c r="K394">
        <v>0</v>
      </c>
      <c r="L394">
        <v>0</v>
      </c>
      <c r="M394">
        <v>2.6919126574988739</v>
      </c>
      <c r="N394">
        <v>1</v>
      </c>
    </row>
    <row r="395" spans="9:14" x14ac:dyDescent="0.3">
      <c r="I395">
        <v>392</v>
      </c>
      <c r="J395">
        <v>3.452520371122946</v>
      </c>
      <c r="K395">
        <v>1</v>
      </c>
      <c r="L395">
        <v>1.546262007984317</v>
      </c>
      <c r="M395">
        <v>4.9987823791072632</v>
      </c>
      <c r="N395">
        <v>0</v>
      </c>
    </row>
    <row r="396" spans="9:14" x14ac:dyDescent="0.3">
      <c r="I396">
        <v>393</v>
      </c>
      <c r="J396">
        <v>2.59668296444451</v>
      </c>
      <c r="K396">
        <v>0</v>
      </c>
      <c r="L396">
        <v>0</v>
      </c>
      <c r="M396">
        <v>2.59668296444451</v>
      </c>
      <c r="N396">
        <v>1</v>
      </c>
    </row>
    <row r="397" spans="9:14" x14ac:dyDescent="0.3">
      <c r="I397">
        <v>394</v>
      </c>
      <c r="J397">
        <v>2.624239895499672</v>
      </c>
      <c r="K397">
        <v>0</v>
      </c>
      <c r="L397">
        <v>0</v>
      </c>
      <c r="M397">
        <v>2.624239895499672</v>
      </c>
      <c r="N397">
        <v>1</v>
      </c>
    </row>
    <row r="398" spans="9:14" x14ac:dyDescent="0.3">
      <c r="I398">
        <v>395</v>
      </c>
      <c r="J398">
        <v>3.1067664444196961</v>
      </c>
      <c r="K398">
        <v>0</v>
      </c>
      <c r="L398">
        <v>0</v>
      </c>
      <c r="M398">
        <v>3.1067664444196961</v>
      </c>
      <c r="N398">
        <v>0</v>
      </c>
    </row>
    <row r="399" spans="9:14" x14ac:dyDescent="0.3">
      <c r="I399">
        <v>396</v>
      </c>
      <c r="J399">
        <v>3.926268071227534</v>
      </c>
      <c r="K399">
        <v>1</v>
      </c>
      <c r="L399">
        <v>1.782785083351059</v>
      </c>
      <c r="M399">
        <v>5.7090531545785934</v>
      </c>
      <c r="N399">
        <v>0</v>
      </c>
    </row>
    <row r="400" spans="9:14" x14ac:dyDescent="0.3">
      <c r="I400">
        <v>397</v>
      </c>
      <c r="J400">
        <v>2.603848769948228</v>
      </c>
      <c r="K400">
        <v>0</v>
      </c>
      <c r="L400">
        <v>0</v>
      </c>
      <c r="M400">
        <v>2.603848769948228</v>
      </c>
      <c r="N400">
        <v>1</v>
      </c>
    </row>
    <row r="401" spans="9:14" x14ac:dyDescent="0.3">
      <c r="I401">
        <v>398</v>
      </c>
      <c r="J401">
        <v>3.078100824904495</v>
      </c>
      <c r="K401">
        <v>1</v>
      </c>
      <c r="L401">
        <v>1.6430997308136659</v>
      </c>
      <c r="M401">
        <v>4.7212005557181609</v>
      </c>
      <c r="N401">
        <v>0</v>
      </c>
    </row>
    <row r="402" spans="9:14" x14ac:dyDescent="0.3">
      <c r="I402">
        <v>399</v>
      </c>
      <c r="J402">
        <v>2.9857958332243602</v>
      </c>
      <c r="K402">
        <v>0</v>
      </c>
      <c r="L402">
        <v>0</v>
      </c>
      <c r="M402">
        <v>2.9857958332243602</v>
      </c>
      <c r="N402">
        <v>1</v>
      </c>
    </row>
    <row r="403" spans="9:14" x14ac:dyDescent="0.3">
      <c r="I403">
        <v>400</v>
      </c>
      <c r="J403">
        <v>2.2227506104107659</v>
      </c>
      <c r="K403">
        <v>1</v>
      </c>
      <c r="L403">
        <v>1.976751186108159</v>
      </c>
      <c r="M403">
        <v>4.1995017965189252</v>
      </c>
      <c r="N403">
        <v>0</v>
      </c>
    </row>
    <row r="404" spans="9:14" x14ac:dyDescent="0.3">
      <c r="I404">
        <v>401</v>
      </c>
      <c r="J404">
        <v>3.6743929469713472</v>
      </c>
      <c r="K404">
        <v>0</v>
      </c>
      <c r="L404">
        <v>0</v>
      </c>
      <c r="M404">
        <v>3.6743929469713472</v>
      </c>
      <c r="N404">
        <v>0</v>
      </c>
    </row>
    <row r="405" spans="9:14" x14ac:dyDescent="0.3">
      <c r="I405">
        <v>402</v>
      </c>
      <c r="J405">
        <v>4.6635348462110224</v>
      </c>
      <c r="K405">
        <v>0</v>
      </c>
      <c r="L405">
        <v>0</v>
      </c>
      <c r="M405">
        <v>4.6635348462110224</v>
      </c>
      <c r="N405">
        <v>0</v>
      </c>
    </row>
    <row r="406" spans="9:14" x14ac:dyDescent="0.3">
      <c r="I406">
        <v>403</v>
      </c>
      <c r="J406">
        <v>3.1355192106670629</v>
      </c>
      <c r="K406">
        <v>0</v>
      </c>
      <c r="L406">
        <v>0</v>
      </c>
      <c r="M406">
        <v>3.1355192106670629</v>
      </c>
      <c r="N406">
        <v>0</v>
      </c>
    </row>
    <row r="407" spans="9:14" x14ac:dyDescent="0.3">
      <c r="I407">
        <v>404</v>
      </c>
      <c r="J407">
        <v>2.247069649227158</v>
      </c>
      <c r="K407">
        <v>0</v>
      </c>
      <c r="L407">
        <v>0</v>
      </c>
      <c r="M407">
        <v>2.247069649227158</v>
      </c>
      <c r="N407">
        <v>1</v>
      </c>
    </row>
    <row r="408" spans="9:14" x14ac:dyDescent="0.3">
      <c r="I408">
        <v>405</v>
      </c>
      <c r="J408">
        <v>2.6564354407747741</v>
      </c>
      <c r="K408">
        <v>1</v>
      </c>
      <c r="L408">
        <v>1.8829695726910951</v>
      </c>
      <c r="M408">
        <v>4.5394050134658688</v>
      </c>
      <c r="N408">
        <v>0</v>
      </c>
    </row>
    <row r="409" spans="9:14" x14ac:dyDescent="0.3">
      <c r="I409">
        <v>406</v>
      </c>
      <c r="J409">
        <v>2.299610719873761</v>
      </c>
      <c r="K409">
        <v>0</v>
      </c>
      <c r="L409">
        <v>0</v>
      </c>
      <c r="M409">
        <v>2.299610719873761</v>
      </c>
      <c r="N409">
        <v>1</v>
      </c>
    </row>
    <row r="410" spans="9:14" x14ac:dyDescent="0.3">
      <c r="I410">
        <v>407</v>
      </c>
      <c r="J410">
        <v>3.7626971856043392</v>
      </c>
      <c r="K410">
        <v>0</v>
      </c>
      <c r="L410">
        <v>0</v>
      </c>
      <c r="M410">
        <v>3.7626971856043392</v>
      </c>
      <c r="N410">
        <v>0</v>
      </c>
    </row>
    <row r="411" spans="9:14" x14ac:dyDescent="0.3">
      <c r="I411">
        <v>408</v>
      </c>
      <c r="J411">
        <v>3.2109724315363191</v>
      </c>
      <c r="K411">
        <v>0</v>
      </c>
      <c r="L411">
        <v>0</v>
      </c>
      <c r="M411">
        <v>3.2109724315363191</v>
      </c>
      <c r="N411">
        <v>0</v>
      </c>
    </row>
    <row r="412" spans="9:14" x14ac:dyDescent="0.3">
      <c r="I412">
        <v>409</v>
      </c>
      <c r="J412">
        <v>2.6547780200492381</v>
      </c>
      <c r="K412">
        <v>0</v>
      </c>
      <c r="L412">
        <v>0</v>
      </c>
      <c r="M412">
        <v>2.6547780200492381</v>
      </c>
      <c r="N412">
        <v>1</v>
      </c>
    </row>
    <row r="413" spans="9:14" x14ac:dyDescent="0.3">
      <c r="I413">
        <v>410</v>
      </c>
      <c r="J413">
        <v>3.9391213351663752</v>
      </c>
      <c r="K413">
        <v>0</v>
      </c>
      <c r="L413">
        <v>0</v>
      </c>
      <c r="M413">
        <v>3.9391213351663752</v>
      </c>
      <c r="N413">
        <v>0</v>
      </c>
    </row>
    <row r="414" spans="9:14" x14ac:dyDescent="0.3">
      <c r="I414">
        <v>411</v>
      </c>
      <c r="J414">
        <v>2.184363366261409</v>
      </c>
      <c r="K414">
        <v>1</v>
      </c>
      <c r="L414">
        <v>1.707361763894393</v>
      </c>
      <c r="M414">
        <v>3.8917251301558031</v>
      </c>
      <c r="N414">
        <v>0</v>
      </c>
    </row>
    <row r="415" spans="9:14" x14ac:dyDescent="0.3">
      <c r="I415">
        <v>412</v>
      </c>
      <c r="J415">
        <v>3.645710468087727</v>
      </c>
      <c r="K415">
        <v>0</v>
      </c>
      <c r="L415">
        <v>0</v>
      </c>
      <c r="M415">
        <v>3.645710468087727</v>
      </c>
      <c r="N415">
        <v>0</v>
      </c>
    </row>
    <row r="416" spans="9:14" x14ac:dyDescent="0.3">
      <c r="I416">
        <v>413</v>
      </c>
      <c r="J416">
        <v>2.7816340588535189</v>
      </c>
      <c r="K416">
        <v>0</v>
      </c>
      <c r="L416">
        <v>0</v>
      </c>
      <c r="M416">
        <v>2.7816340588535189</v>
      </c>
      <c r="N416">
        <v>1</v>
      </c>
    </row>
    <row r="417" spans="9:14" x14ac:dyDescent="0.3">
      <c r="I417">
        <v>414</v>
      </c>
      <c r="J417">
        <v>3.1719497130317311</v>
      </c>
      <c r="K417">
        <v>0</v>
      </c>
      <c r="L417">
        <v>0</v>
      </c>
      <c r="M417">
        <v>3.1719497130317311</v>
      </c>
      <c r="N417">
        <v>0</v>
      </c>
    </row>
    <row r="418" spans="9:14" x14ac:dyDescent="0.3">
      <c r="I418">
        <v>415</v>
      </c>
      <c r="J418">
        <v>4.0095344477043753</v>
      </c>
      <c r="K418">
        <v>0</v>
      </c>
      <c r="L418">
        <v>0</v>
      </c>
      <c r="M418">
        <v>4.0095344477043753</v>
      </c>
      <c r="N418">
        <v>0</v>
      </c>
    </row>
    <row r="419" spans="9:14" x14ac:dyDescent="0.3">
      <c r="I419">
        <v>416</v>
      </c>
      <c r="J419">
        <v>3.2739699578879788</v>
      </c>
      <c r="K419">
        <v>1</v>
      </c>
      <c r="L419">
        <v>1.009365228486776</v>
      </c>
      <c r="M419">
        <v>4.2833351863747549</v>
      </c>
      <c r="N419">
        <v>0</v>
      </c>
    </row>
    <row r="420" spans="9:14" x14ac:dyDescent="0.3">
      <c r="I420">
        <v>417</v>
      </c>
      <c r="J420">
        <v>3.3043975129407199</v>
      </c>
      <c r="K420">
        <v>0</v>
      </c>
      <c r="L420">
        <v>0</v>
      </c>
      <c r="M420">
        <v>3.3043975129407199</v>
      </c>
      <c r="N420">
        <v>0</v>
      </c>
    </row>
    <row r="421" spans="9:14" x14ac:dyDescent="0.3">
      <c r="I421">
        <v>418</v>
      </c>
      <c r="J421">
        <v>2.8521785298018729</v>
      </c>
      <c r="K421">
        <v>0</v>
      </c>
      <c r="L421">
        <v>0</v>
      </c>
      <c r="M421">
        <v>2.8521785298018729</v>
      </c>
      <c r="N421">
        <v>1</v>
      </c>
    </row>
    <row r="422" spans="9:14" x14ac:dyDescent="0.3">
      <c r="I422">
        <v>419</v>
      </c>
      <c r="J422">
        <v>2.3642533919040609</v>
      </c>
      <c r="K422">
        <v>0</v>
      </c>
      <c r="L422">
        <v>0</v>
      </c>
      <c r="M422">
        <v>2.3642533919040609</v>
      </c>
      <c r="N422">
        <v>1</v>
      </c>
    </row>
    <row r="423" spans="9:14" x14ac:dyDescent="0.3">
      <c r="I423">
        <v>420</v>
      </c>
      <c r="J423">
        <v>3.159260361748462</v>
      </c>
      <c r="K423">
        <v>0</v>
      </c>
      <c r="L423">
        <v>0</v>
      </c>
      <c r="M423">
        <v>3.159260361748462</v>
      </c>
      <c r="N423">
        <v>0</v>
      </c>
    </row>
    <row r="424" spans="9:14" x14ac:dyDescent="0.3">
      <c r="I424">
        <v>421</v>
      </c>
      <c r="J424">
        <v>3.079993572924494</v>
      </c>
      <c r="K424">
        <v>0</v>
      </c>
      <c r="L424">
        <v>0</v>
      </c>
      <c r="M424">
        <v>3.079993572924494</v>
      </c>
      <c r="N424">
        <v>0</v>
      </c>
    </row>
    <row r="425" spans="9:14" x14ac:dyDescent="0.3">
      <c r="I425">
        <v>422</v>
      </c>
      <c r="J425">
        <v>3.7338946895324332</v>
      </c>
      <c r="K425">
        <v>0</v>
      </c>
      <c r="L425">
        <v>0</v>
      </c>
      <c r="M425">
        <v>3.7338946895324332</v>
      </c>
      <c r="N425">
        <v>0</v>
      </c>
    </row>
    <row r="426" spans="9:14" x14ac:dyDescent="0.3">
      <c r="I426">
        <v>423</v>
      </c>
      <c r="J426">
        <v>2.9669940159333521</v>
      </c>
      <c r="K426">
        <v>1</v>
      </c>
      <c r="L426">
        <v>1.5094057489968979</v>
      </c>
      <c r="M426">
        <v>4.4763997649302496</v>
      </c>
      <c r="N426">
        <v>0</v>
      </c>
    </row>
    <row r="427" spans="9:14" x14ac:dyDescent="0.3">
      <c r="I427">
        <v>424</v>
      </c>
      <c r="J427">
        <v>2.6719862228842759</v>
      </c>
      <c r="K427">
        <v>1</v>
      </c>
      <c r="L427">
        <v>1.0589541023464959</v>
      </c>
      <c r="M427">
        <v>3.730940325230772</v>
      </c>
      <c r="N427">
        <v>0</v>
      </c>
    </row>
    <row r="428" spans="9:14" x14ac:dyDescent="0.3">
      <c r="I428">
        <v>425</v>
      </c>
      <c r="J428">
        <v>2.4335501971238269</v>
      </c>
      <c r="K428">
        <v>0</v>
      </c>
      <c r="L428">
        <v>0</v>
      </c>
      <c r="M428">
        <v>2.4335501971238269</v>
      </c>
      <c r="N428">
        <v>1</v>
      </c>
    </row>
    <row r="429" spans="9:14" x14ac:dyDescent="0.3">
      <c r="I429">
        <v>426</v>
      </c>
      <c r="J429">
        <v>3.8791865329051261</v>
      </c>
      <c r="K429">
        <v>0</v>
      </c>
      <c r="L429">
        <v>0</v>
      </c>
      <c r="M429">
        <v>3.8791865329051261</v>
      </c>
      <c r="N429">
        <v>0</v>
      </c>
    </row>
    <row r="430" spans="9:14" x14ac:dyDescent="0.3">
      <c r="I430">
        <v>427</v>
      </c>
      <c r="J430">
        <v>2.5356159189402958</v>
      </c>
      <c r="K430">
        <v>0</v>
      </c>
      <c r="L430">
        <v>0</v>
      </c>
      <c r="M430">
        <v>2.5356159189402958</v>
      </c>
      <c r="N430">
        <v>1</v>
      </c>
    </row>
    <row r="431" spans="9:14" x14ac:dyDescent="0.3">
      <c r="I431">
        <v>428</v>
      </c>
      <c r="J431">
        <v>3.017982632865245</v>
      </c>
      <c r="K431">
        <v>0</v>
      </c>
      <c r="L431">
        <v>0</v>
      </c>
      <c r="M431">
        <v>3.017982632865245</v>
      </c>
      <c r="N431">
        <v>0</v>
      </c>
    </row>
    <row r="432" spans="9:14" x14ac:dyDescent="0.3">
      <c r="I432">
        <v>429</v>
      </c>
      <c r="J432">
        <v>2.9203475779259631</v>
      </c>
      <c r="K432">
        <v>1</v>
      </c>
      <c r="L432">
        <v>1.567795281532965</v>
      </c>
      <c r="M432">
        <v>4.4881428594589279</v>
      </c>
      <c r="N432">
        <v>0</v>
      </c>
    </row>
    <row r="433" spans="9:14" x14ac:dyDescent="0.3">
      <c r="I433">
        <v>430</v>
      </c>
      <c r="J433">
        <v>2.6601429264122771</v>
      </c>
      <c r="K433">
        <v>0</v>
      </c>
      <c r="L433">
        <v>0</v>
      </c>
      <c r="M433">
        <v>2.6601429264122771</v>
      </c>
      <c r="N433">
        <v>1</v>
      </c>
    </row>
    <row r="434" spans="9:14" x14ac:dyDescent="0.3">
      <c r="I434">
        <v>431</v>
      </c>
      <c r="J434">
        <v>3.3700751077750781</v>
      </c>
      <c r="K434">
        <v>0</v>
      </c>
      <c r="L434">
        <v>0</v>
      </c>
      <c r="M434">
        <v>3.3700751077750781</v>
      </c>
      <c r="N434">
        <v>0</v>
      </c>
    </row>
    <row r="435" spans="9:14" x14ac:dyDescent="0.3">
      <c r="I435">
        <v>432</v>
      </c>
      <c r="J435">
        <v>2.8974465051973159</v>
      </c>
      <c r="K435">
        <v>0</v>
      </c>
      <c r="L435">
        <v>0</v>
      </c>
      <c r="M435">
        <v>2.8974465051973159</v>
      </c>
      <c r="N435">
        <v>1</v>
      </c>
    </row>
    <row r="436" spans="9:14" x14ac:dyDescent="0.3">
      <c r="I436">
        <v>433</v>
      </c>
      <c r="J436">
        <v>3.5816898969943942</v>
      </c>
      <c r="K436">
        <v>0</v>
      </c>
      <c r="L436">
        <v>0</v>
      </c>
      <c r="M436">
        <v>3.5816898969943942</v>
      </c>
      <c r="N436">
        <v>0</v>
      </c>
    </row>
    <row r="437" spans="9:14" x14ac:dyDescent="0.3">
      <c r="I437">
        <v>434</v>
      </c>
      <c r="J437">
        <v>3.8658070144190719</v>
      </c>
      <c r="K437">
        <v>0</v>
      </c>
      <c r="L437">
        <v>0</v>
      </c>
      <c r="M437">
        <v>3.8658070144190719</v>
      </c>
      <c r="N437">
        <v>0</v>
      </c>
    </row>
    <row r="438" spans="9:14" x14ac:dyDescent="0.3">
      <c r="I438">
        <v>435</v>
      </c>
      <c r="J438">
        <v>3.146365807475469</v>
      </c>
      <c r="K438">
        <v>1</v>
      </c>
      <c r="L438">
        <v>1.7023340906051669</v>
      </c>
      <c r="M438">
        <v>4.8486998980806364</v>
      </c>
      <c r="N438">
        <v>0</v>
      </c>
    </row>
    <row r="439" spans="9:14" x14ac:dyDescent="0.3">
      <c r="I439">
        <v>436</v>
      </c>
      <c r="J439">
        <v>3.792361226833405</v>
      </c>
      <c r="K439">
        <v>0</v>
      </c>
      <c r="L439">
        <v>0</v>
      </c>
      <c r="M439">
        <v>3.792361226833405</v>
      </c>
      <c r="N439">
        <v>0</v>
      </c>
    </row>
    <row r="440" spans="9:14" x14ac:dyDescent="0.3">
      <c r="I440">
        <v>437</v>
      </c>
      <c r="J440">
        <v>3.6975357224687362</v>
      </c>
      <c r="K440">
        <v>1</v>
      </c>
      <c r="L440">
        <v>1.428202343803709</v>
      </c>
      <c r="M440">
        <v>5.1257380662724454</v>
      </c>
      <c r="N440">
        <v>0</v>
      </c>
    </row>
    <row r="441" spans="9:14" x14ac:dyDescent="0.3">
      <c r="I441">
        <v>438</v>
      </c>
      <c r="J441">
        <v>3.2765611491274251</v>
      </c>
      <c r="K441">
        <v>0</v>
      </c>
      <c r="L441">
        <v>0</v>
      </c>
      <c r="M441">
        <v>3.2765611491274251</v>
      </c>
      <c r="N441">
        <v>0</v>
      </c>
    </row>
    <row r="442" spans="9:14" x14ac:dyDescent="0.3">
      <c r="I442">
        <v>439</v>
      </c>
      <c r="J442">
        <v>2.1623014960231428</v>
      </c>
      <c r="K442">
        <v>0</v>
      </c>
      <c r="L442">
        <v>0</v>
      </c>
      <c r="M442">
        <v>2.1623014960231428</v>
      </c>
      <c r="N442">
        <v>1</v>
      </c>
    </row>
    <row r="443" spans="9:14" x14ac:dyDescent="0.3">
      <c r="I443">
        <v>440</v>
      </c>
      <c r="J443">
        <v>3.5147335108229019</v>
      </c>
      <c r="K443">
        <v>0</v>
      </c>
      <c r="L443">
        <v>0</v>
      </c>
      <c r="M443">
        <v>3.5147335108229019</v>
      </c>
      <c r="N443">
        <v>0</v>
      </c>
    </row>
    <row r="444" spans="9:14" x14ac:dyDescent="0.3">
      <c r="I444">
        <v>441</v>
      </c>
      <c r="J444">
        <v>2.822828042832993</v>
      </c>
      <c r="K444">
        <v>0</v>
      </c>
      <c r="L444">
        <v>0</v>
      </c>
      <c r="M444">
        <v>2.822828042832993</v>
      </c>
      <c r="N444">
        <v>1</v>
      </c>
    </row>
    <row r="445" spans="9:14" x14ac:dyDescent="0.3">
      <c r="I445">
        <v>442</v>
      </c>
      <c r="J445">
        <v>3.2876266302522388</v>
      </c>
      <c r="K445">
        <v>0</v>
      </c>
      <c r="L445">
        <v>0</v>
      </c>
      <c r="M445">
        <v>3.2876266302522388</v>
      </c>
      <c r="N445">
        <v>0</v>
      </c>
    </row>
    <row r="446" spans="9:14" x14ac:dyDescent="0.3">
      <c r="I446">
        <v>443</v>
      </c>
      <c r="J446">
        <v>2.9913522365633338</v>
      </c>
      <c r="K446">
        <v>0</v>
      </c>
      <c r="L446">
        <v>0</v>
      </c>
      <c r="M446">
        <v>2.9913522365633338</v>
      </c>
      <c r="N446">
        <v>1</v>
      </c>
    </row>
    <row r="447" spans="9:14" x14ac:dyDescent="0.3">
      <c r="I447">
        <v>444</v>
      </c>
      <c r="J447">
        <v>3.3282468311357229</v>
      </c>
      <c r="K447">
        <v>1</v>
      </c>
      <c r="L447">
        <v>1.296626571959314</v>
      </c>
      <c r="M447">
        <v>4.6248734030950374</v>
      </c>
      <c r="N447">
        <v>0</v>
      </c>
    </row>
    <row r="448" spans="9:14" x14ac:dyDescent="0.3">
      <c r="I448">
        <v>445</v>
      </c>
      <c r="J448">
        <v>3.682408698697214</v>
      </c>
      <c r="K448">
        <v>0</v>
      </c>
      <c r="L448">
        <v>0</v>
      </c>
      <c r="M448">
        <v>3.682408698697214</v>
      </c>
      <c r="N448">
        <v>0</v>
      </c>
    </row>
    <row r="449" spans="9:14" x14ac:dyDescent="0.3">
      <c r="I449">
        <v>446</v>
      </c>
      <c r="J449">
        <v>3.105350835617819</v>
      </c>
      <c r="K449">
        <v>0</v>
      </c>
      <c r="L449">
        <v>0</v>
      </c>
      <c r="M449">
        <v>3.105350835617819</v>
      </c>
      <c r="N449">
        <v>0</v>
      </c>
    </row>
    <row r="450" spans="9:14" x14ac:dyDescent="0.3">
      <c r="I450">
        <v>447</v>
      </c>
      <c r="J450">
        <v>3.5227236609976602</v>
      </c>
      <c r="K450">
        <v>0</v>
      </c>
      <c r="L450">
        <v>0</v>
      </c>
      <c r="M450">
        <v>3.5227236609976602</v>
      </c>
      <c r="N450">
        <v>0</v>
      </c>
    </row>
    <row r="451" spans="9:14" x14ac:dyDescent="0.3">
      <c r="I451">
        <v>448</v>
      </c>
      <c r="J451">
        <v>3.1600690389538002</v>
      </c>
      <c r="K451">
        <v>0</v>
      </c>
      <c r="L451">
        <v>0</v>
      </c>
      <c r="M451">
        <v>3.1600690389538002</v>
      </c>
      <c r="N451">
        <v>0</v>
      </c>
    </row>
    <row r="452" spans="9:14" x14ac:dyDescent="0.3">
      <c r="I452">
        <v>449</v>
      </c>
      <c r="J452">
        <v>2.900468559627928</v>
      </c>
      <c r="K452">
        <v>0</v>
      </c>
      <c r="L452">
        <v>0</v>
      </c>
      <c r="M452">
        <v>2.900468559627928</v>
      </c>
      <c r="N452">
        <v>1</v>
      </c>
    </row>
    <row r="453" spans="9:14" x14ac:dyDescent="0.3">
      <c r="I453">
        <v>450</v>
      </c>
      <c r="J453">
        <v>2.987986027296452</v>
      </c>
      <c r="K453">
        <v>0</v>
      </c>
      <c r="L453">
        <v>0</v>
      </c>
      <c r="M453">
        <v>2.987986027296452</v>
      </c>
      <c r="N453">
        <v>1</v>
      </c>
    </row>
    <row r="454" spans="9:14" x14ac:dyDescent="0.3">
      <c r="I454">
        <v>451</v>
      </c>
      <c r="J454">
        <v>4.1063144711349979</v>
      </c>
      <c r="K454">
        <v>1</v>
      </c>
      <c r="L454">
        <v>1.56149286891782</v>
      </c>
      <c r="M454">
        <v>5.6678073400528177</v>
      </c>
      <c r="N454">
        <v>0</v>
      </c>
    </row>
    <row r="455" spans="9:14" x14ac:dyDescent="0.3">
      <c r="I455">
        <v>452</v>
      </c>
      <c r="J455">
        <v>3.1829176181079522</v>
      </c>
      <c r="K455">
        <v>0</v>
      </c>
      <c r="L455">
        <v>0</v>
      </c>
      <c r="M455">
        <v>3.1829176181079522</v>
      </c>
      <c r="N455">
        <v>0</v>
      </c>
    </row>
    <row r="456" spans="9:14" x14ac:dyDescent="0.3">
      <c r="I456">
        <v>453</v>
      </c>
      <c r="J456">
        <v>3.3156668756834109</v>
      </c>
      <c r="K456">
        <v>0</v>
      </c>
      <c r="L456">
        <v>0</v>
      </c>
      <c r="M456">
        <v>3.3156668756834109</v>
      </c>
      <c r="N456">
        <v>0</v>
      </c>
    </row>
    <row r="457" spans="9:14" x14ac:dyDescent="0.3">
      <c r="I457">
        <v>454</v>
      </c>
      <c r="J457">
        <v>2.8882264472997732</v>
      </c>
      <c r="K457">
        <v>0</v>
      </c>
      <c r="L457">
        <v>0</v>
      </c>
      <c r="M457">
        <v>2.8882264472997732</v>
      </c>
      <c r="N457">
        <v>1</v>
      </c>
    </row>
    <row r="458" spans="9:14" x14ac:dyDescent="0.3">
      <c r="I458">
        <v>455</v>
      </c>
      <c r="J458">
        <v>2.695275207952581</v>
      </c>
      <c r="K458">
        <v>0</v>
      </c>
      <c r="L458">
        <v>0</v>
      </c>
      <c r="M458">
        <v>2.695275207952581</v>
      </c>
      <c r="N458">
        <v>1</v>
      </c>
    </row>
    <row r="459" spans="9:14" x14ac:dyDescent="0.3">
      <c r="I459">
        <v>456</v>
      </c>
      <c r="J459">
        <v>2.444899291893988</v>
      </c>
      <c r="K459">
        <v>1</v>
      </c>
      <c r="L459">
        <v>1.023817449986181</v>
      </c>
      <c r="M459">
        <v>3.468716741880169</v>
      </c>
      <c r="N459">
        <v>0</v>
      </c>
    </row>
    <row r="460" spans="9:14" x14ac:dyDescent="0.3">
      <c r="I460">
        <v>457</v>
      </c>
      <c r="J460">
        <v>2.266132201981252</v>
      </c>
      <c r="K460">
        <v>0</v>
      </c>
      <c r="L460">
        <v>0</v>
      </c>
      <c r="M460">
        <v>2.266132201981252</v>
      </c>
      <c r="N460">
        <v>1</v>
      </c>
    </row>
    <row r="461" spans="9:14" x14ac:dyDescent="0.3">
      <c r="I461">
        <v>458</v>
      </c>
      <c r="J461">
        <v>4.2860974517855466</v>
      </c>
      <c r="K461">
        <v>0</v>
      </c>
      <c r="L461">
        <v>0</v>
      </c>
      <c r="M461">
        <v>4.2860974517855466</v>
      </c>
      <c r="N461">
        <v>0</v>
      </c>
    </row>
    <row r="462" spans="9:14" x14ac:dyDescent="0.3">
      <c r="I462">
        <v>459</v>
      </c>
      <c r="J462">
        <v>3.2030579628355502</v>
      </c>
      <c r="K462">
        <v>0</v>
      </c>
      <c r="L462">
        <v>0</v>
      </c>
      <c r="M462">
        <v>3.2030579628355502</v>
      </c>
      <c r="N462">
        <v>0</v>
      </c>
    </row>
    <row r="463" spans="9:14" x14ac:dyDescent="0.3">
      <c r="I463">
        <v>460</v>
      </c>
      <c r="J463">
        <v>4.253637233277801</v>
      </c>
      <c r="K463">
        <v>0</v>
      </c>
      <c r="L463">
        <v>0</v>
      </c>
      <c r="M463">
        <v>4.253637233277801</v>
      </c>
      <c r="N463">
        <v>0</v>
      </c>
    </row>
    <row r="464" spans="9:14" x14ac:dyDescent="0.3">
      <c r="I464">
        <v>461</v>
      </c>
      <c r="J464">
        <v>2.7542487411516441</v>
      </c>
      <c r="K464">
        <v>1</v>
      </c>
      <c r="L464">
        <v>1.7168612721770411</v>
      </c>
      <c r="M464">
        <v>4.4711100133286852</v>
      </c>
      <c r="N464">
        <v>0</v>
      </c>
    </row>
    <row r="465" spans="9:14" x14ac:dyDescent="0.3">
      <c r="I465">
        <v>462</v>
      </c>
      <c r="J465">
        <v>3.3345414540355138</v>
      </c>
      <c r="K465">
        <v>0</v>
      </c>
      <c r="L465">
        <v>0</v>
      </c>
      <c r="M465">
        <v>3.3345414540355138</v>
      </c>
      <c r="N465">
        <v>0</v>
      </c>
    </row>
    <row r="466" spans="9:14" x14ac:dyDescent="0.3">
      <c r="I466">
        <v>463</v>
      </c>
      <c r="J466">
        <v>2.531897621917834</v>
      </c>
      <c r="K466">
        <v>0</v>
      </c>
      <c r="L466">
        <v>0</v>
      </c>
      <c r="M466">
        <v>2.531897621917834</v>
      </c>
      <c r="N466">
        <v>1</v>
      </c>
    </row>
    <row r="467" spans="9:14" x14ac:dyDescent="0.3">
      <c r="I467">
        <v>464</v>
      </c>
      <c r="J467">
        <v>2.6945330412897892</v>
      </c>
      <c r="K467">
        <v>1</v>
      </c>
      <c r="L467">
        <v>1.3478967591371069</v>
      </c>
      <c r="M467">
        <v>4.0424298004268957</v>
      </c>
      <c r="N467">
        <v>0</v>
      </c>
    </row>
    <row r="468" spans="9:14" x14ac:dyDescent="0.3">
      <c r="I468">
        <v>465</v>
      </c>
      <c r="J468">
        <v>3.232742173694926</v>
      </c>
      <c r="K468">
        <v>0</v>
      </c>
      <c r="L468">
        <v>0</v>
      </c>
      <c r="M468">
        <v>3.232742173694926</v>
      </c>
      <c r="N468">
        <v>0</v>
      </c>
    </row>
    <row r="469" spans="9:14" x14ac:dyDescent="0.3">
      <c r="I469">
        <v>466</v>
      </c>
      <c r="J469">
        <v>2.8493756151221472</v>
      </c>
      <c r="K469">
        <v>1</v>
      </c>
      <c r="L469">
        <v>1.654935455553193</v>
      </c>
      <c r="M469">
        <v>4.5043110706753406</v>
      </c>
      <c r="N469">
        <v>0</v>
      </c>
    </row>
    <row r="470" spans="9:14" x14ac:dyDescent="0.3">
      <c r="I470">
        <v>467</v>
      </c>
      <c r="J470">
        <v>3.1342468437591342</v>
      </c>
      <c r="K470">
        <v>0</v>
      </c>
      <c r="L470">
        <v>0</v>
      </c>
      <c r="M470">
        <v>3.1342468437591342</v>
      </c>
      <c r="N470">
        <v>0</v>
      </c>
    </row>
    <row r="471" spans="9:14" x14ac:dyDescent="0.3">
      <c r="I471">
        <v>468</v>
      </c>
      <c r="J471">
        <v>3.6344196967527509</v>
      </c>
      <c r="K471">
        <v>1</v>
      </c>
      <c r="L471">
        <v>1.919294891263386</v>
      </c>
      <c r="M471">
        <v>5.5537145880161356</v>
      </c>
      <c r="N471">
        <v>0</v>
      </c>
    </row>
    <row r="472" spans="9:14" x14ac:dyDescent="0.3">
      <c r="I472">
        <v>469</v>
      </c>
      <c r="J472">
        <v>2.4127863021067868</v>
      </c>
      <c r="K472">
        <v>0</v>
      </c>
      <c r="L472">
        <v>0</v>
      </c>
      <c r="M472">
        <v>2.4127863021067868</v>
      </c>
      <c r="N472">
        <v>1</v>
      </c>
    </row>
    <row r="473" spans="9:14" x14ac:dyDescent="0.3">
      <c r="I473">
        <v>470</v>
      </c>
      <c r="J473">
        <v>2.2022731589293398</v>
      </c>
      <c r="K473">
        <v>1</v>
      </c>
      <c r="L473">
        <v>1.5598802167662309</v>
      </c>
      <c r="M473">
        <v>3.7621533756955712</v>
      </c>
      <c r="N473">
        <v>0</v>
      </c>
    </row>
    <row r="474" spans="9:14" x14ac:dyDescent="0.3">
      <c r="I474">
        <v>471</v>
      </c>
      <c r="J474">
        <v>3.2493853032655249</v>
      </c>
      <c r="K474">
        <v>0</v>
      </c>
      <c r="L474">
        <v>0</v>
      </c>
      <c r="M474">
        <v>3.2493853032655249</v>
      </c>
      <c r="N474">
        <v>0</v>
      </c>
    </row>
    <row r="475" spans="9:14" x14ac:dyDescent="0.3">
      <c r="I475">
        <v>472</v>
      </c>
      <c r="J475">
        <v>2.7447157802052979</v>
      </c>
      <c r="K475">
        <v>0</v>
      </c>
      <c r="L475">
        <v>0</v>
      </c>
      <c r="M475">
        <v>2.7447157802052979</v>
      </c>
      <c r="N475">
        <v>1</v>
      </c>
    </row>
    <row r="476" spans="9:14" x14ac:dyDescent="0.3">
      <c r="I476">
        <v>473</v>
      </c>
      <c r="J476">
        <v>2.7920402051487878</v>
      </c>
      <c r="K476">
        <v>0</v>
      </c>
      <c r="L476">
        <v>0</v>
      </c>
      <c r="M476">
        <v>2.7920402051487878</v>
      </c>
      <c r="N476">
        <v>1</v>
      </c>
    </row>
    <row r="477" spans="9:14" x14ac:dyDescent="0.3">
      <c r="I477">
        <v>474</v>
      </c>
      <c r="J477">
        <v>2.1774297444191562</v>
      </c>
      <c r="K477">
        <v>0</v>
      </c>
      <c r="L477">
        <v>0</v>
      </c>
      <c r="M477">
        <v>2.1774297444191562</v>
      </c>
      <c r="N477">
        <v>1</v>
      </c>
    </row>
    <row r="478" spans="9:14" x14ac:dyDescent="0.3">
      <c r="I478">
        <v>475</v>
      </c>
      <c r="J478">
        <v>2.6165184707620792</v>
      </c>
      <c r="K478">
        <v>0</v>
      </c>
      <c r="L478">
        <v>0</v>
      </c>
      <c r="M478">
        <v>2.6165184707620792</v>
      </c>
      <c r="N478">
        <v>1</v>
      </c>
    </row>
    <row r="479" spans="9:14" x14ac:dyDescent="0.3">
      <c r="I479">
        <v>476</v>
      </c>
      <c r="J479">
        <v>2.5392006965120508</v>
      </c>
      <c r="K479">
        <v>0</v>
      </c>
      <c r="L479">
        <v>0</v>
      </c>
      <c r="M479">
        <v>2.5392006965120508</v>
      </c>
      <c r="N479">
        <v>1</v>
      </c>
    </row>
    <row r="480" spans="9:14" x14ac:dyDescent="0.3">
      <c r="I480">
        <v>477</v>
      </c>
      <c r="J480">
        <v>3.165164245345959</v>
      </c>
      <c r="K480">
        <v>0</v>
      </c>
      <c r="L480">
        <v>0</v>
      </c>
      <c r="M480">
        <v>3.165164245345959</v>
      </c>
      <c r="N480">
        <v>0</v>
      </c>
    </row>
    <row r="481" spans="9:14" x14ac:dyDescent="0.3">
      <c r="I481">
        <v>478</v>
      </c>
      <c r="J481">
        <v>3.4546198246878692</v>
      </c>
      <c r="K481">
        <v>0</v>
      </c>
      <c r="L481">
        <v>0</v>
      </c>
      <c r="M481">
        <v>3.4546198246878692</v>
      </c>
      <c r="N481">
        <v>0</v>
      </c>
    </row>
    <row r="482" spans="9:14" x14ac:dyDescent="0.3">
      <c r="I482">
        <v>479</v>
      </c>
      <c r="J482">
        <v>3.6943419217346132</v>
      </c>
      <c r="K482">
        <v>0</v>
      </c>
      <c r="L482">
        <v>0</v>
      </c>
      <c r="M482">
        <v>3.6943419217346132</v>
      </c>
      <c r="N482">
        <v>0</v>
      </c>
    </row>
    <row r="483" spans="9:14" x14ac:dyDescent="0.3">
      <c r="I483">
        <v>480</v>
      </c>
      <c r="J483">
        <v>2.377963643674025</v>
      </c>
      <c r="K483">
        <v>1</v>
      </c>
      <c r="L483">
        <v>1.0376549987661039</v>
      </c>
      <c r="M483">
        <v>3.4156186424401298</v>
      </c>
      <c r="N483">
        <v>0</v>
      </c>
    </row>
    <row r="484" spans="9:14" x14ac:dyDescent="0.3">
      <c r="I484">
        <v>481</v>
      </c>
      <c r="J484">
        <v>2.775894779060009</v>
      </c>
      <c r="K484">
        <v>0</v>
      </c>
      <c r="L484">
        <v>0</v>
      </c>
      <c r="M484">
        <v>2.775894779060009</v>
      </c>
      <c r="N484">
        <v>1</v>
      </c>
    </row>
    <row r="485" spans="9:14" x14ac:dyDescent="0.3">
      <c r="I485">
        <v>482</v>
      </c>
      <c r="J485">
        <v>2.494281652895225</v>
      </c>
      <c r="K485">
        <v>0</v>
      </c>
      <c r="L485">
        <v>0</v>
      </c>
      <c r="M485">
        <v>2.494281652895225</v>
      </c>
      <c r="N485">
        <v>1</v>
      </c>
    </row>
    <row r="486" spans="9:14" x14ac:dyDescent="0.3">
      <c r="I486">
        <v>483</v>
      </c>
      <c r="J486">
        <v>2.7055156233907511</v>
      </c>
      <c r="K486">
        <v>0</v>
      </c>
      <c r="L486">
        <v>0</v>
      </c>
      <c r="M486">
        <v>2.7055156233907511</v>
      </c>
      <c r="N486">
        <v>1</v>
      </c>
    </row>
    <row r="487" spans="9:14" x14ac:dyDescent="0.3">
      <c r="I487">
        <v>484</v>
      </c>
      <c r="J487">
        <v>2.4272017616390058</v>
      </c>
      <c r="K487">
        <v>1</v>
      </c>
      <c r="L487">
        <v>1.417585640708068</v>
      </c>
      <c r="M487">
        <v>3.8447874023470741</v>
      </c>
      <c r="N487">
        <v>0</v>
      </c>
    </row>
    <row r="488" spans="9:14" x14ac:dyDescent="0.3">
      <c r="I488">
        <v>485</v>
      </c>
      <c r="J488">
        <v>2.5573551140392738</v>
      </c>
      <c r="K488">
        <v>0</v>
      </c>
      <c r="L488">
        <v>0</v>
      </c>
      <c r="M488">
        <v>2.5573551140392738</v>
      </c>
      <c r="N488">
        <v>1</v>
      </c>
    </row>
    <row r="489" spans="9:14" x14ac:dyDescent="0.3">
      <c r="I489">
        <v>486</v>
      </c>
      <c r="J489">
        <v>2.275854099614087</v>
      </c>
      <c r="K489">
        <v>1</v>
      </c>
      <c r="L489">
        <v>1.6239436078676881</v>
      </c>
      <c r="M489">
        <v>3.8997977074817758</v>
      </c>
      <c r="N489">
        <v>0</v>
      </c>
    </row>
    <row r="490" spans="9:14" x14ac:dyDescent="0.3">
      <c r="I490">
        <v>487</v>
      </c>
      <c r="J490">
        <v>3.4259445682051748</v>
      </c>
      <c r="K490">
        <v>0</v>
      </c>
      <c r="L490">
        <v>0</v>
      </c>
      <c r="M490">
        <v>3.4259445682051748</v>
      </c>
      <c r="N490">
        <v>0</v>
      </c>
    </row>
    <row r="491" spans="9:14" x14ac:dyDescent="0.3">
      <c r="I491">
        <v>488</v>
      </c>
      <c r="J491">
        <v>2.8419444305702579</v>
      </c>
      <c r="K491">
        <v>1</v>
      </c>
      <c r="L491">
        <v>1.1711419645553709</v>
      </c>
      <c r="M491">
        <v>4.0130863951256286</v>
      </c>
      <c r="N491">
        <v>0</v>
      </c>
    </row>
    <row r="492" spans="9:14" x14ac:dyDescent="0.3">
      <c r="I492">
        <v>489</v>
      </c>
      <c r="J492">
        <v>2.592159135385387</v>
      </c>
      <c r="K492">
        <v>0</v>
      </c>
      <c r="L492">
        <v>0</v>
      </c>
      <c r="M492">
        <v>2.592159135385387</v>
      </c>
      <c r="N492">
        <v>1</v>
      </c>
    </row>
    <row r="493" spans="9:14" x14ac:dyDescent="0.3">
      <c r="I493">
        <v>490</v>
      </c>
      <c r="J493">
        <v>3.1052005981889552</v>
      </c>
      <c r="K493">
        <v>0</v>
      </c>
      <c r="L493">
        <v>0</v>
      </c>
      <c r="M493">
        <v>3.1052005981889552</v>
      </c>
      <c r="N493">
        <v>0</v>
      </c>
    </row>
    <row r="494" spans="9:14" x14ac:dyDescent="0.3">
      <c r="I494">
        <v>491</v>
      </c>
      <c r="J494">
        <v>3.5157165144128011</v>
      </c>
      <c r="K494">
        <v>0</v>
      </c>
      <c r="L494">
        <v>0</v>
      </c>
      <c r="M494">
        <v>3.5157165144128011</v>
      </c>
      <c r="N494">
        <v>0</v>
      </c>
    </row>
    <row r="495" spans="9:14" x14ac:dyDescent="0.3">
      <c r="I495">
        <v>492</v>
      </c>
      <c r="J495">
        <v>2.5988320590214871</v>
      </c>
      <c r="K495">
        <v>0</v>
      </c>
      <c r="L495">
        <v>0</v>
      </c>
      <c r="M495">
        <v>2.5988320590214871</v>
      </c>
      <c r="N495">
        <v>1</v>
      </c>
    </row>
    <row r="496" spans="9:14" x14ac:dyDescent="0.3">
      <c r="I496">
        <v>493</v>
      </c>
      <c r="J496">
        <v>3.213005561915824</v>
      </c>
      <c r="K496">
        <v>0</v>
      </c>
      <c r="L496">
        <v>0</v>
      </c>
      <c r="M496">
        <v>3.213005561915824</v>
      </c>
      <c r="N496">
        <v>0</v>
      </c>
    </row>
    <row r="497" spans="9:14" x14ac:dyDescent="0.3">
      <c r="I497">
        <v>494</v>
      </c>
      <c r="J497">
        <v>3.8285024868514399</v>
      </c>
      <c r="K497">
        <v>0</v>
      </c>
      <c r="L497">
        <v>0</v>
      </c>
      <c r="M497">
        <v>3.8285024868514399</v>
      </c>
      <c r="N497">
        <v>0</v>
      </c>
    </row>
    <row r="498" spans="9:14" x14ac:dyDescent="0.3">
      <c r="I498">
        <v>495</v>
      </c>
      <c r="J498">
        <v>3.6591725106085669</v>
      </c>
      <c r="K498">
        <v>1</v>
      </c>
      <c r="L498">
        <v>1.029684385720212</v>
      </c>
      <c r="M498">
        <v>4.6888568963287804</v>
      </c>
      <c r="N498">
        <v>0</v>
      </c>
    </row>
    <row r="499" spans="9:14" x14ac:dyDescent="0.3">
      <c r="I499">
        <v>496</v>
      </c>
      <c r="J499">
        <v>2.9448819595881961</v>
      </c>
      <c r="K499">
        <v>0</v>
      </c>
      <c r="L499">
        <v>0</v>
      </c>
      <c r="M499">
        <v>2.9448819595881961</v>
      </c>
      <c r="N499">
        <v>1</v>
      </c>
    </row>
    <row r="500" spans="9:14" x14ac:dyDescent="0.3">
      <c r="I500">
        <v>497</v>
      </c>
      <c r="J500">
        <v>2.81222318099059</v>
      </c>
      <c r="K500">
        <v>0</v>
      </c>
      <c r="L500">
        <v>0</v>
      </c>
      <c r="M500">
        <v>2.81222318099059</v>
      </c>
      <c r="N500">
        <v>1</v>
      </c>
    </row>
    <row r="501" spans="9:14" x14ac:dyDescent="0.3">
      <c r="I501">
        <v>498</v>
      </c>
      <c r="J501">
        <v>3.042188872782432</v>
      </c>
      <c r="K501">
        <v>0</v>
      </c>
      <c r="L501">
        <v>0</v>
      </c>
      <c r="M501">
        <v>3.042188872782432</v>
      </c>
      <c r="N501">
        <v>0</v>
      </c>
    </row>
    <row r="502" spans="9:14" x14ac:dyDescent="0.3">
      <c r="I502">
        <v>499</v>
      </c>
      <c r="J502">
        <v>2.8151002001759862</v>
      </c>
      <c r="K502">
        <v>0</v>
      </c>
      <c r="L502">
        <v>0</v>
      </c>
      <c r="M502">
        <v>2.8151002001759862</v>
      </c>
      <c r="N502">
        <v>1</v>
      </c>
    </row>
    <row r="503" spans="9:14" x14ac:dyDescent="0.3">
      <c r="I503">
        <v>500</v>
      </c>
      <c r="J503">
        <v>2.8978339462815939</v>
      </c>
      <c r="K503">
        <v>1</v>
      </c>
      <c r="L503">
        <v>1.322689297303921</v>
      </c>
      <c r="M503">
        <v>4.2205232435855136</v>
      </c>
      <c r="N503">
        <v>0</v>
      </c>
    </row>
    <row r="504" spans="9:14" x14ac:dyDescent="0.3">
      <c r="I504">
        <v>501</v>
      </c>
      <c r="J504">
        <v>2.9123159538449879</v>
      </c>
      <c r="K504">
        <v>0</v>
      </c>
      <c r="L504">
        <v>0</v>
      </c>
      <c r="M504">
        <v>2.9123159538449879</v>
      </c>
      <c r="N504">
        <v>1</v>
      </c>
    </row>
    <row r="505" spans="9:14" x14ac:dyDescent="0.3">
      <c r="I505">
        <v>502</v>
      </c>
      <c r="J505">
        <v>4.0600023962248137</v>
      </c>
      <c r="K505">
        <v>0</v>
      </c>
      <c r="L505">
        <v>0</v>
      </c>
      <c r="M505">
        <v>4.0600023962248137</v>
      </c>
      <c r="N505">
        <v>0</v>
      </c>
    </row>
    <row r="506" spans="9:14" x14ac:dyDescent="0.3">
      <c r="I506">
        <v>503</v>
      </c>
      <c r="J506">
        <v>4.0056402319403821</v>
      </c>
      <c r="K506">
        <v>1</v>
      </c>
      <c r="L506">
        <v>1.367372786003181</v>
      </c>
      <c r="M506">
        <v>5.3730130179435633</v>
      </c>
      <c r="N506">
        <v>0</v>
      </c>
    </row>
    <row r="507" spans="9:14" x14ac:dyDescent="0.3">
      <c r="I507">
        <v>504</v>
      </c>
      <c r="J507">
        <v>2.7756725709374921</v>
      </c>
      <c r="K507">
        <v>0</v>
      </c>
      <c r="L507">
        <v>0</v>
      </c>
      <c r="M507">
        <v>2.7756725709374921</v>
      </c>
      <c r="N507">
        <v>1</v>
      </c>
    </row>
    <row r="508" spans="9:14" x14ac:dyDescent="0.3">
      <c r="I508">
        <v>505</v>
      </c>
      <c r="J508">
        <v>3.771994187286055</v>
      </c>
      <c r="K508">
        <v>1</v>
      </c>
      <c r="L508">
        <v>1.2440878330054419</v>
      </c>
      <c r="M508">
        <v>5.0160820202914973</v>
      </c>
      <c r="N508">
        <v>0</v>
      </c>
    </row>
    <row r="509" spans="9:14" x14ac:dyDescent="0.3">
      <c r="I509">
        <v>506</v>
      </c>
      <c r="J509">
        <v>3.5761954907477991</v>
      </c>
      <c r="K509">
        <v>0</v>
      </c>
      <c r="L509">
        <v>0</v>
      </c>
      <c r="M509">
        <v>3.5761954907477991</v>
      </c>
      <c r="N509">
        <v>0</v>
      </c>
    </row>
    <row r="510" spans="9:14" x14ac:dyDescent="0.3">
      <c r="I510">
        <v>507</v>
      </c>
      <c r="J510">
        <v>2.4235561270804</v>
      </c>
      <c r="K510">
        <v>1</v>
      </c>
      <c r="L510">
        <v>1.5945284815813621</v>
      </c>
      <c r="M510">
        <v>4.0180846086617628</v>
      </c>
      <c r="N510">
        <v>0</v>
      </c>
    </row>
    <row r="511" spans="9:14" x14ac:dyDescent="0.3">
      <c r="I511">
        <v>508</v>
      </c>
      <c r="J511">
        <v>2.4332217779810001</v>
      </c>
      <c r="K511">
        <v>0</v>
      </c>
      <c r="L511">
        <v>0</v>
      </c>
      <c r="M511">
        <v>2.4332217779810001</v>
      </c>
      <c r="N511">
        <v>1</v>
      </c>
    </row>
    <row r="512" spans="9:14" x14ac:dyDescent="0.3">
      <c r="I512">
        <v>509</v>
      </c>
      <c r="J512">
        <v>3.2051508082776339</v>
      </c>
      <c r="K512">
        <v>0</v>
      </c>
      <c r="L512">
        <v>0</v>
      </c>
      <c r="M512">
        <v>3.2051508082776339</v>
      </c>
      <c r="N512">
        <v>0</v>
      </c>
    </row>
    <row r="513" spans="9:14" x14ac:dyDescent="0.3">
      <c r="I513">
        <v>510</v>
      </c>
      <c r="J513">
        <v>2.1750279346545418</v>
      </c>
      <c r="K513">
        <v>0</v>
      </c>
      <c r="L513">
        <v>0</v>
      </c>
      <c r="M513">
        <v>2.1750279346545418</v>
      </c>
      <c r="N513">
        <v>1</v>
      </c>
    </row>
    <row r="514" spans="9:14" x14ac:dyDescent="0.3">
      <c r="I514">
        <v>511</v>
      </c>
      <c r="J514">
        <v>2.3014766536071298</v>
      </c>
      <c r="K514">
        <v>0</v>
      </c>
      <c r="L514">
        <v>0</v>
      </c>
      <c r="M514">
        <v>2.3014766536071298</v>
      </c>
      <c r="N514">
        <v>1</v>
      </c>
    </row>
    <row r="515" spans="9:14" x14ac:dyDescent="0.3">
      <c r="I515">
        <v>512</v>
      </c>
      <c r="J515">
        <v>3.0603835196616189</v>
      </c>
      <c r="K515">
        <v>1</v>
      </c>
      <c r="L515">
        <v>1.213374671764619</v>
      </c>
      <c r="M515">
        <v>4.2737581914262384</v>
      </c>
      <c r="N515">
        <v>0</v>
      </c>
    </row>
    <row r="516" spans="9:14" x14ac:dyDescent="0.3">
      <c r="I516">
        <v>513</v>
      </c>
      <c r="J516">
        <v>2.8867354466615271</v>
      </c>
      <c r="K516">
        <v>0</v>
      </c>
      <c r="L516">
        <v>0</v>
      </c>
      <c r="M516">
        <v>2.8867354466615271</v>
      </c>
      <c r="N516">
        <v>1</v>
      </c>
    </row>
    <row r="517" spans="9:14" x14ac:dyDescent="0.3">
      <c r="I517">
        <v>514</v>
      </c>
      <c r="J517">
        <v>2.9474186474393611</v>
      </c>
      <c r="K517">
        <v>0</v>
      </c>
      <c r="L517">
        <v>0</v>
      </c>
      <c r="M517">
        <v>2.9474186474393611</v>
      </c>
      <c r="N517">
        <v>1</v>
      </c>
    </row>
    <row r="518" spans="9:14" x14ac:dyDescent="0.3">
      <c r="I518">
        <v>515</v>
      </c>
      <c r="J518">
        <v>3.3786659335672788</v>
      </c>
      <c r="K518">
        <v>0</v>
      </c>
      <c r="L518">
        <v>0</v>
      </c>
      <c r="M518">
        <v>3.3786659335672788</v>
      </c>
      <c r="N518">
        <v>0</v>
      </c>
    </row>
    <row r="519" spans="9:14" x14ac:dyDescent="0.3">
      <c r="I519">
        <v>516</v>
      </c>
      <c r="J519">
        <v>4.5308771720953622</v>
      </c>
      <c r="K519">
        <v>0</v>
      </c>
      <c r="L519">
        <v>0</v>
      </c>
      <c r="M519">
        <v>4.5308771720953622</v>
      </c>
      <c r="N519">
        <v>0</v>
      </c>
    </row>
    <row r="520" spans="9:14" x14ac:dyDescent="0.3">
      <c r="I520">
        <v>517</v>
      </c>
      <c r="J520">
        <v>3.3652828975702578</v>
      </c>
      <c r="K520">
        <v>0</v>
      </c>
      <c r="L520">
        <v>0</v>
      </c>
      <c r="M520">
        <v>3.3652828975702578</v>
      </c>
      <c r="N520">
        <v>0</v>
      </c>
    </row>
    <row r="521" spans="9:14" x14ac:dyDescent="0.3">
      <c r="I521">
        <v>518</v>
      </c>
      <c r="J521">
        <v>2.7616620092124968</v>
      </c>
      <c r="K521">
        <v>0</v>
      </c>
      <c r="L521">
        <v>0</v>
      </c>
      <c r="M521">
        <v>2.7616620092124968</v>
      </c>
      <c r="N521">
        <v>1</v>
      </c>
    </row>
    <row r="522" spans="9:14" x14ac:dyDescent="0.3">
      <c r="I522">
        <v>519</v>
      </c>
      <c r="J522">
        <v>4.1375132525472136</v>
      </c>
      <c r="K522">
        <v>0</v>
      </c>
      <c r="L522">
        <v>0</v>
      </c>
      <c r="M522">
        <v>4.1375132525472136</v>
      </c>
      <c r="N522">
        <v>0</v>
      </c>
    </row>
    <row r="523" spans="9:14" x14ac:dyDescent="0.3">
      <c r="I523">
        <v>520</v>
      </c>
      <c r="J523">
        <v>3.5765624056573739</v>
      </c>
      <c r="K523">
        <v>0</v>
      </c>
      <c r="L523">
        <v>0</v>
      </c>
      <c r="M523">
        <v>3.5765624056573739</v>
      </c>
      <c r="N523">
        <v>0</v>
      </c>
    </row>
    <row r="524" spans="9:14" x14ac:dyDescent="0.3">
      <c r="I524">
        <v>521</v>
      </c>
      <c r="J524">
        <v>3.0607387791698728</v>
      </c>
      <c r="K524">
        <v>0</v>
      </c>
      <c r="L524">
        <v>0</v>
      </c>
      <c r="M524">
        <v>3.0607387791698728</v>
      </c>
      <c r="N524">
        <v>0</v>
      </c>
    </row>
    <row r="525" spans="9:14" x14ac:dyDescent="0.3">
      <c r="I525">
        <v>522</v>
      </c>
      <c r="J525">
        <v>3.6992779155892661</v>
      </c>
      <c r="K525">
        <v>0</v>
      </c>
      <c r="L525">
        <v>0</v>
      </c>
      <c r="M525">
        <v>3.6992779155892661</v>
      </c>
      <c r="N525">
        <v>0</v>
      </c>
    </row>
    <row r="526" spans="9:14" x14ac:dyDescent="0.3">
      <c r="I526">
        <v>523</v>
      </c>
      <c r="J526">
        <v>3.07993350116246</v>
      </c>
      <c r="K526">
        <v>1</v>
      </c>
      <c r="L526">
        <v>1.5846037807855149</v>
      </c>
      <c r="M526">
        <v>4.6645372819479753</v>
      </c>
      <c r="N526">
        <v>0</v>
      </c>
    </row>
    <row r="527" spans="9:14" x14ac:dyDescent="0.3">
      <c r="I527">
        <v>524</v>
      </c>
      <c r="J527">
        <v>2.6182998904632488</v>
      </c>
      <c r="K527">
        <v>0</v>
      </c>
      <c r="L527">
        <v>0</v>
      </c>
      <c r="M527">
        <v>2.6182998904632488</v>
      </c>
      <c r="N527">
        <v>1</v>
      </c>
    </row>
    <row r="528" spans="9:14" x14ac:dyDescent="0.3">
      <c r="I528">
        <v>525</v>
      </c>
      <c r="J528">
        <v>2.6252652213365568</v>
      </c>
      <c r="K528">
        <v>1</v>
      </c>
      <c r="L528">
        <v>1.1877134033077339</v>
      </c>
      <c r="M528">
        <v>3.8129786246442912</v>
      </c>
      <c r="N528">
        <v>0</v>
      </c>
    </row>
    <row r="529" spans="9:14" x14ac:dyDescent="0.3">
      <c r="I529">
        <v>526</v>
      </c>
      <c r="J529">
        <v>2.630265968668704</v>
      </c>
      <c r="K529">
        <v>0</v>
      </c>
      <c r="L529">
        <v>0</v>
      </c>
      <c r="M529">
        <v>2.630265968668704</v>
      </c>
      <c r="N529">
        <v>1</v>
      </c>
    </row>
    <row r="530" spans="9:14" x14ac:dyDescent="0.3">
      <c r="I530">
        <v>527</v>
      </c>
      <c r="J530">
        <v>3.20365233872245</v>
      </c>
      <c r="K530">
        <v>0</v>
      </c>
      <c r="L530">
        <v>0</v>
      </c>
      <c r="M530">
        <v>3.20365233872245</v>
      </c>
      <c r="N530">
        <v>0</v>
      </c>
    </row>
    <row r="531" spans="9:14" x14ac:dyDescent="0.3">
      <c r="I531">
        <v>528</v>
      </c>
      <c r="J531">
        <v>3.6611485739864569</v>
      </c>
      <c r="K531">
        <v>0</v>
      </c>
      <c r="L531">
        <v>0</v>
      </c>
      <c r="M531">
        <v>3.6611485739864569</v>
      </c>
      <c r="N531">
        <v>0</v>
      </c>
    </row>
    <row r="532" spans="9:14" x14ac:dyDescent="0.3">
      <c r="I532">
        <v>529</v>
      </c>
      <c r="J532">
        <v>3.368468903938616</v>
      </c>
      <c r="K532">
        <v>0</v>
      </c>
      <c r="L532">
        <v>0</v>
      </c>
      <c r="M532">
        <v>3.368468903938616</v>
      </c>
      <c r="N532">
        <v>0</v>
      </c>
    </row>
    <row r="533" spans="9:14" x14ac:dyDescent="0.3">
      <c r="I533">
        <v>530</v>
      </c>
      <c r="J533">
        <v>2.4703323961148418</v>
      </c>
      <c r="K533">
        <v>0</v>
      </c>
      <c r="L533">
        <v>0</v>
      </c>
      <c r="M533">
        <v>2.4703323961148418</v>
      </c>
      <c r="N533">
        <v>1</v>
      </c>
    </row>
    <row r="534" spans="9:14" x14ac:dyDescent="0.3">
      <c r="I534">
        <v>531</v>
      </c>
      <c r="J534">
        <v>2.8398963510200081</v>
      </c>
      <c r="K534">
        <v>1</v>
      </c>
      <c r="L534">
        <v>1.877515771965137</v>
      </c>
      <c r="M534">
        <v>4.7174121229851442</v>
      </c>
      <c r="N534">
        <v>0</v>
      </c>
    </row>
    <row r="535" spans="9:14" x14ac:dyDescent="0.3">
      <c r="I535">
        <v>532</v>
      </c>
      <c r="J535">
        <v>2.3916735336222659</v>
      </c>
      <c r="K535">
        <v>0</v>
      </c>
      <c r="L535">
        <v>0</v>
      </c>
      <c r="M535">
        <v>2.3916735336222659</v>
      </c>
      <c r="N535">
        <v>1</v>
      </c>
    </row>
    <row r="536" spans="9:14" x14ac:dyDescent="0.3">
      <c r="I536">
        <v>533</v>
      </c>
      <c r="J536">
        <v>3.7009037588141949</v>
      </c>
      <c r="K536">
        <v>0</v>
      </c>
      <c r="L536">
        <v>0</v>
      </c>
      <c r="M536">
        <v>3.7009037588141949</v>
      </c>
      <c r="N536">
        <v>0</v>
      </c>
    </row>
    <row r="537" spans="9:14" x14ac:dyDescent="0.3">
      <c r="I537">
        <v>534</v>
      </c>
      <c r="J537">
        <v>2.9830829182088872</v>
      </c>
      <c r="K537">
        <v>0</v>
      </c>
      <c r="L537">
        <v>0</v>
      </c>
      <c r="M537">
        <v>2.9830829182088872</v>
      </c>
      <c r="N537">
        <v>1</v>
      </c>
    </row>
    <row r="538" spans="9:14" x14ac:dyDescent="0.3">
      <c r="I538">
        <v>535</v>
      </c>
      <c r="J538">
        <v>3.2527867066035552</v>
      </c>
      <c r="K538">
        <v>1</v>
      </c>
      <c r="L538">
        <v>1.165825170437824</v>
      </c>
      <c r="M538">
        <v>4.4186118770413776</v>
      </c>
      <c r="N538">
        <v>0</v>
      </c>
    </row>
    <row r="539" spans="9:14" x14ac:dyDescent="0.3">
      <c r="I539">
        <v>536</v>
      </c>
      <c r="J539">
        <v>3.470824997509562</v>
      </c>
      <c r="K539">
        <v>0</v>
      </c>
      <c r="L539">
        <v>0</v>
      </c>
      <c r="M539">
        <v>3.470824997509562</v>
      </c>
      <c r="N539">
        <v>0</v>
      </c>
    </row>
    <row r="540" spans="9:14" x14ac:dyDescent="0.3">
      <c r="I540">
        <v>537</v>
      </c>
      <c r="J540">
        <v>3.343336028057414</v>
      </c>
      <c r="K540">
        <v>0</v>
      </c>
      <c r="L540">
        <v>0</v>
      </c>
      <c r="M540">
        <v>3.343336028057414</v>
      </c>
      <c r="N540">
        <v>0</v>
      </c>
    </row>
    <row r="541" spans="9:14" x14ac:dyDescent="0.3">
      <c r="I541">
        <v>538</v>
      </c>
      <c r="J541">
        <v>2.7818726110016092</v>
      </c>
      <c r="K541">
        <v>1</v>
      </c>
      <c r="L541">
        <v>1.0755238431591509</v>
      </c>
      <c r="M541">
        <v>3.8573964541607602</v>
      </c>
      <c r="N541">
        <v>0</v>
      </c>
    </row>
    <row r="542" spans="9:14" x14ac:dyDescent="0.3">
      <c r="I542">
        <v>539</v>
      </c>
      <c r="J542">
        <v>2.7676436042609129</v>
      </c>
      <c r="K542">
        <v>0</v>
      </c>
      <c r="L542">
        <v>0</v>
      </c>
      <c r="M542">
        <v>2.7676436042609129</v>
      </c>
      <c r="N542">
        <v>1</v>
      </c>
    </row>
    <row r="543" spans="9:14" x14ac:dyDescent="0.3">
      <c r="I543">
        <v>540</v>
      </c>
      <c r="J543">
        <v>2.6217321652758909</v>
      </c>
      <c r="K543">
        <v>0</v>
      </c>
      <c r="L543">
        <v>0</v>
      </c>
      <c r="M543">
        <v>2.6217321652758909</v>
      </c>
      <c r="N543">
        <v>1</v>
      </c>
    </row>
    <row r="544" spans="9:14" x14ac:dyDescent="0.3">
      <c r="I544">
        <v>541</v>
      </c>
      <c r="J544">
        <v>2.9875027733446942</v>
      </c>
      <c r="K544">
        <v>0</v>
      </c>
      <c r="L544">
        <v>0</v>
      </c>
      <c r="M544">
        <v>2.9875027733446942</v>
      </c>
      <c r="N544">
        <v>1</v>
      </c>
    </row>
    <row r="545" spans="9:14" x14ac:dyDescent="0.3">
      <c r="I545">
        <v>542</v>
      </c>
      <c r="J545">
        <v>4.1375473932311424</v>
      </c>
      <c r="K545">
        <v>0</v>
      </c>
      <c r="L545">
        <v>0</v>
      </c>
      <c r="M545">
        <v>4.1375473932311424</v>
      </c>
      <c r="N545">
        <v>0</v>
      </c>
    </row>
    <row r="546" spans="9:14" x14ac:dyDescent="0.3">
      <c r="I546">
        <v>543</v>
      </c>
      <c r="J546">
        <v>2.813611558568422</v>
      </c>
      <c r="K546">
        <v>0</v>
      </c>
      <c r="L546">
        <v>0</v>
      </c>
      <c r="M546">
        <v>2.813611558568422</v>
      </c>
      <c r="N546">
        <v>1</v>
      </c>
    </row>
    <row r="547" spans="9:14" x14ac:dyDescent="0.3">
      <c r="I547">
        <v>544</v>
      </c>
      <c r="J547">
        <v>2.0588069135829818</v>
      </c>
      <c r="K547">
        <v>0</v>
      </c>
      <c r="L547">
        <v>0</v>
      </c>
      <c r="M547">
        <v>2.0588069135829818</v>
      </c>
      <c r="N547">
        <v>1</v>
      </c>
    </row>
    <row r="548" spans="9:14" x14ac:dyDescent="0.3">
      <c r="I548">
        <v>545</v>
      </c>
      <c r="J548">
        <v>3.7868055763339061</v>
      </c>
      <c r="K548">
        <v>0</v>
      </c>
      <c r="L548">
        <v>0</v>
      </c>
      <c r="M548">
        <v>3.7868055763339061</v>
      </c>
      <c r="N548">
        <v>0</v>
      </c>
    </row>
    <row r="549" spans="9:14" x14ac:dyDescent="0.3">
      <c r="I549">
        <v>546</v>
      </c>
      <c r="J549">
        <v>2.8049909481864148</v>
      </c>
      <c r="K549">
        <v>0</v>
      </c>
      <c r="L549">
        <v>0</v>
      </c>
      <c r="M549">
        <v>2.8049909481864148</v>
      </c>
      <c r="N549">
        <v>1</v>
      </c>
    </row>
    <row r="550" spans="9:14" x14ac:dyDescent="0.3">
      <c r="I550">
        <v>547</v>
      </c>
      <c r="J550">
        <v>3.3961587455840809</v>
      </c>
      <c r="K550">
        <v>0</v>
      </c>
      <c r="L550">
        <v>0</v>
      </c>
      <c r="M550">
        <v>3.3961587455840809</v>
      </c>
      <c r="N550">
        <v>0</v>
      </c>
    </row>
    <row r="551" spans="9:14" x14ac:dyDescent="0.3">
      <c r="I551">
        <v>548</v>
      </c>
      <c r="J551">
        <v>4.2448395072984626</v>
      </c>
      <c r="K551">
        <v>0</v>
      </c>
      <c r="L551">
        <v>0</v>
      </c>
      <c r="M551">
        <v>4.2448395072984626</v>
      </c>
      <c r="N551">
        <v>0</v>
      </c>
    </row>
    <row r="552" spans="9:14" x14ac:dyDescent="0.3">
      <c r="I552">
        <v>549</v>
      </c>
      <c r="J552">
        <v>2.2055563157687752</v>
      </c>
      <c r="K552">
        <v>0</v>
      </c>
      <c r="L552">
        <v>0</v>
      </c>
      <c r="M552">
        <v>2.2055563157687752</v>
      </c>
      <c r="N552">
        <v>1</v>
      </c>
    </row>
    <row r="553" spans="9:14" x14ac:dyDescent="0.3">
      <c r="I553">
        <v>550</v>
      </c>
      <c r="J553">
        <v>3.207600299141022</v>
      </c>
      <c r="K553">
        <v>0</v>
      </c>
      <c r="L553">
        <v>0</v>
      </c>
      <c r="M553">
        <v>3.207600299141022</v>
      </c>
      <c r="N553">
        <v>0</v>
      </c>
    </row>
    <row r="554" spans="9:14" x14ac:dyDescent="0.3">
      <c r="I554">
        <v>551</v>
      </c>
      <c r="J554">
        <v>2.9564794508816341</v>
      </c>
      <c r="K554">
        <v>1</v>
      </c>
      <c r="L554">
        <v>1.7339313624268089</v>
      </c>
      <c r="M554">
        <v>4.6904108133084428</v>
      </c>
      <c r="N554">
        <v>0</v>
      </c>
    </row>
    <row r="555" spans="9:14" x14ac:dyDescent="0.3">
      <c r="I555">
        <v>552</v>
      </c>
      <c r="J555">
        <v>2.7857464349871131</v>
      </c>
      <c r="K555">
        <v>1</v>
      </c>
      <c r="L555">
        <v>1.04341816158895</v>
      </c>
      <c r="M555">
        <v>3.8291645965760628</v>
      </c>
      <c r="N555">
        <v>0</v>
      </c>
    </row>
    <row r="556" spans="9:14" x14ac:dyDescent="0.3">
      <c r="I556">
        <v>553</v>
      </c>
      <c r="J556">
        <v>3.37972747914064</v>
      </c>
      <c r="K556">
        <v>0</v>
      </c>
      <c r="L556">
        <v>0</v>
      </c>
      <c r="M556">
        <v>3.37972747914064</v>
      </c>
      <c r="N556">
        <v>0</v>
      </c>
    </row>
    <row r="557" spans="9:14" x14ac:dyDescent="0.3">
      <c r="I557">
        <v>554</v>
      </c>
      <c r="J557">
        <v>2.9619977430339981</v>
      </c>
      <c r="K557">
        <v>0</v>
      </c>
      <c r="L557">
        <v>0</v>
      </c>
      <c r="M557">
        <v>2.9619977430339981</v>
      </c>
      <c r="N557">
        <v>1</v>
      </c>
    </row>
    <row r="558" spans="9:14" x14ac:dyDescent="0.3">
      <c r="I558">
        <v>555</v>
      </c>
      <c r="J558">
        <v>2.5990551676361862</v>
      </c>
      <c r="K558">
        <v>0</v>
      </c>
      <c r="L558">
        <v>0</v>
      </c>
      <c r="M558">
        <v>2.5990551676361862</v>
      </c>
      <c r="N558">
        <v>1</v>
      </c>
    </row>
    <row r="559" spans="9:14" x14ac:dyDescent="0.3">
      <c r="I559">
        <v>556</v>
      </c>
      <c r="J559">
        <v>2.3193448578129319</v>
      </c>
      <c r="K559">
        <v>1</v>
      </c>
      <c r="L559">
        <v>1.869427898536419</v>
      </c>
      <c r="M559">
        <v>4.1887727563493513</v>
      </c>
      <c r="N559">
        <v>0</v>
      </c>
    </row>
    <row r="560" spans="9:14" x14ac:dyDescent="0.3">
      <c r="I560">
        <v>557</v>
      </c>
      <c r="J560">
        <v>3.5627271620174978</v>
      </c>
      <c r="K560">
        <v>1</v>
      </c>
      <c r="L560">
        <v>1.327716905379934</v>
      </c>
      <c r="M560">
        <v>4.8904440673974321</v>
      </c>
      <c r="N560">
        <v>0</v>
      </c>
    </row>
    <row r="561" spans="9:14" x14ac:dyDescent="0.3">
      <c r="I561">
        <v>558</v>
      </c>
      <c r="J561">
        <v>3.0248287698356751</v>
      </c>
      <c r="K561">
        <v>0</v>
      </c>
      <c r="L561">
        <v>0</v>
      </c>
      <c r="M561">
        <v>3.0248287698356751</v>
      </c>
      <c r="N561">
        <v>0</v>
      </c>
    </row>
    <row r="562" spans="9:14" x14ac:dyDescent="0.3">
      <c r="I562">
        <v>559</v>
      </c>
      <c r="J562">
        <v>3.4225393148410568</v>
      </c>
      <c r="K562">
        <v>1</v>
      </c>
      <c r="L562">
        <v>1.4997375686240639</v>
      </c>
      <c r="M562">
        <v>4.9222768834651216</v>
      </c>
      <c r="N562">
        <v>0</v>
      </c>
    </row>
    <row r="563" spans="9:14" x14ac:dyDescent="0.3">
      <c r="I563">
        <v>560</v>
      </c>
      <c r="J563">
        <v>3.2897238847539572</v>
      </c>
      <c r="K563">
        <v>0</v>
      </c>
      <c r="L563">
        <v>0</v>
      </c>
      <c r="M563">
        <v>3.2897238847539572</v>
      </c>
      <c r="N563">
        <v>0</v>
      </c>
    </row>
    <row r="564" spans="9:14" x14ac:dyDescent="0.3">
      <c r="I564">
        <v>561</v>
      </c>
      <c r="J564">
        <v>2.6501620835142661</v>
      </c>
      <c r="K564">
        <v>1</v>
      </c>
      <c r="L564">
        <v>1.577030577603225</v>
      </c>
      <c r="M564">
        <v>4.227192661117491</v>
      </c>
      <c r="N564">
        <v>0</v>
      </c>
    </row>
    <row r="565" spans="9:14" x14ac:dyDescent="0.3">
      <c r="I565">
        <v>562</v>
      </c>
      <c r="J565">
        <v>4.1345987486596947</v>
      </c>
      <c r="K565">
        <v>0</v>
      </c>
      <c r="L565">
        <v>0</v>
      </c>
      <c r="M565">
        <v>4.1345987486596947</v>
      </c>
      <c r="N565">
        <v>0</v>
      </c>
    </row>
    <row r="566" spans="9:14" x14ac:dyDescent="0.3">
      <c r="I566">
        <v>563</v>
      </c>
      <c r="J566">
        <v>3.299049366010673</v>
      </c>
      <c r="K566">
        <v>0</v>
      </c>
      <c r="L566">
        <v>0</v>
      </c>
      <c r="M566">
        <v>3.299049366010673</v>
      </c>
      <c r="N566">
        <v>0</v>
      </c>
    </row>
    <row r="567" spans="9:14" x14ac:dyDescent="0.3">
      <c r="I567">
        <v>564</v>
      </c>
      <c r="J567">
        <v>3.2208399981920759</v>
      </c>
      <c r="K567">
        <v>0</v>
      </c>
      <c r="L567">
        <v>0</v>
      </c>
      <c r="M567">
        <v>3.2208399981920759</v>
      </c>
      <c r="N567">
        <v>0</v>
      </c>
    </row>
    <row r="568" spans="9:14" x14ac:dyDescent="0.3">
      <c r="I568">
        <v>565</v>
      </c>
      <c r="J568">
        <v>2.8479702122243529</v>
      </c>
      <c r="K568">
        <v>0</v>
      </c>
      <c r="L568">
        <v>0</v>
      </c>
      <c r="M568">
        <v>2.8479702122243529</v>
      </c>
      <c r="N568">
        <v>1</v>
      </c>
    </row>
    <row r="569" spans="9:14" x14ac:dyDescent="0.3">
      <c r="I569">
        <v>566</v>
      </c>
      <c r="J569">
        <v>3.498634658565241</v>
      </c>
      <c r="K569">
        <v>0</v>
      </c>
      <c r="L569">
        <v>0</v>
      </c>
      <c r="M569">
        <v>3.498634658565241</v>
      </c>
      <c r="N569">
        <v>0</v>
      </c>
    </row>
    <row r="570" spans="9:14" x14ac:dyDescent="0.3">
      <c r="I570">
        <v>567</v>
      </c>
      <c r="J570">
        <v>3.9989514093765508</v>
      </c>
      <c r="K570">
        <v>0</v>
      </c>
      <c r="L570">
        <v>0</v>
      </c>
      <c r="M570">
        <v>3.9989514093765508</v>
      </c>
      <c r="N570">
        <v>0</v>
      </c>
    </row>
    <row r="571" spans="9:14" x14ac:dyDescent="0.3">
      <c r="I571">
        <v>568</v>
      </c>
      <c r="J571">
        <v>2.6788753106865699</v>
      </c>
      <c r="K571">
        <v>1</v>
      </c>
      <c r="L571">
        <v>1.1007483752869589</v>
      </c>
      <c r="M571">
        <v>3.779623685973529</v>
      </c>
      <c r="N571">
        <v>0</v>
      </c>
    </row>
    <row r="572" spans="9:14" x14ac:dyDescent="0.3">
      <c r="I572">
        <v>569</v>
      </c>
      <c r="J572">
        <v>4.7883052232889618</v>
      </c>
      <c r="K572">
        <v>0</v>
      </c>
      <c r="L572">
        <v>0</v>
      </c>
      <c r="M572">
        <v>4.7883052232889618</v>
      </c>
      <c r="N572">
        <v>0</v>
      </c>
    </row>
    <row r="573" spans="9:14" x14ac:dyDescent="0.3">
      <c r="I573">
        <v>570</v>
      </c>
      <c r="J573">
        <v>2.5856464637204821</v>
      </c>
      <c r="K573">
        <v>0</v>
      </c>
      <c r="L573">
        <v>0</v>
      </c>
      <c r="M573">
        <v>2.5856464637204821</v>
      </c>
      <c r="N573">
        <v>1</v>
      </c>
    </row>
    <row r="574" spans="9:14" x14ac:dyDescent="0.3">
      <c r="I574">
        <v>571</v>
      </c>
      <c r="J574">
        <v>2.9058201712759368</v>
      </c>
      <c r="K574">
        <v>0</v>
      </c>
      <c r="L574">
        <v>0</v>
      </c>
      <c r="M574">
        <v>2.9058201712759368</v>
      </c>
      <c r="N574">
        <v>1</v>
      </c>
    </row>
    <row r="575" spans="9:14" x14ac:dyDescent="0.3">
      <c r="I575">
        <v>572</v>
      </c>
      <c r="J575">
        <v>2.86117165585445</v>
      </c>
      <c r="K575">
        <v>0</v>
      </c>
      <c r="L575">
        <v>0</v>
      </c>
      <c r="M575">
        <v>2.86117165585445</v>
      </c>
      <c r="N575">
        <v>1</v>
      </c>
    </row>
    <row r="576" spans="9:14" x14ac:dyDescent="0.3">
      <c r="I576">
        <v>573</v>
      </c>
      <c r="J576">
        <v>3.7635206863537061</v>
      </c>
      <c r="K576">
        <v>0</v>
      </c>
      <c r="L576">
        <v>0</v>
      </c>
      <c r="M576">
        <v>3.7635206863537061</v>
      </c>
      <c r="N576">
        <v>0</v>
      </c>
    </row>
    <row r="577" spans="9:14" x14ac:dyDescent="0.3">
      <c r="I577">
        <v>574</v>
      </c>
      <c r="J577">
        <v>2.9761518647934819</v>
      </c>
      <c r="K577">
        <v>0</v>
      </c>
      <c r="L577">
        <v>0</v>
      </c>
      <c r="M577">
        <v>2.9761518647934819</v>
      </c>
      <c r="N577">
        <v>1</v>
      </c>
    </row>
    <row r="578" spans="9:14" x14ac:dyDescent="0.3">
      <c r="I578">
        <v>575</v>
      </c>
      <c r="J578">
        <v>3.8113230130185509</v>
      </c>
      <c r="K578">
        <v>0</v>
      </c>
      <c r="L578">
        <v>0</v>
      </c>
      <c r="M578">
        <v>3.8113230130185509</v>
      </c>
      <c r="N578">
        <v>0</v>
      </c>
    </row>
    <row r="579" spans="9:14" x14ac:dyDescent="0.3">
      <c r="I579">
        <v>576</v>
      </c>
      <c r="J579">
        <v>2.9834729293567519</v>
      </c>
      <c r="K579">
        <v>0</v>
      </c>
      <c r="L579">
        <v>0</v>
      </c>
      <c r="M579">
        <v>2.9834729293567519</v>
      </c>
      <c r="N579">
        <v>1</v>
      </c>
    </row>
    <row r="580" spans="9:14" x14ac:dyDescent="0.3">
      <c r="I580">
        <v>577</v>
      </c>
      <c r="J580">
        <v>3.2091274483069179</v>
      </c>
      <c r="K580">
        <v>0</v>
      </c>
      <c r="L580">
        <v>0</v>
      </c>
      <c r="M580">
        <v>3.2091274483069179</v>
      </c>
      <c r="N580">
        <v>0</v>
      </c>
    </row>
    <row r="581" spans="9:14" x14ac:dyDescent="0.3">
      <c r="I581">
        <v>578</v>
      </c>
      <c r="J581">
        <v>4.2564449144247529</v>
      </c>
      <c r="K581">
        <v>0</v>
      </c>
      <c r="L581">
        <v>0</v>
      </c>
      <c r="M581">
        <v>4.2564449144247529</v>
      </c>
      <c r="N581">
        <v>0</v>
      </c>
    </row>
    <row r="582" spans="9:14" x14ac:dyDescent="0.3">
      <c r="I582">
        <v>579</v>
      </c>
      <c r="J582">
        <v>2.3386434931621398</v>
      </c>
      <c r="K582">
        <v>0</v>
      </c>
      <c r="L582">
        <v>0</v>
      </c>
      <c r="M582">
        <v>2.3386434931621398</v>
      </c>
      <c r="N582">
        <v>1</v>
      </c>
    </row>
    <row r="583" spans="9:14" x14ac:dyDescent="0.3">
      <c r="I583">
        <v>580</v>
      </c>
      <c r="J583">
        <v>3.3398065994691182</v>
      </c>
      <c r="K583">
        <v>0</v>
      </c>
      <c r="L583">
        <v>0</v>
      </c>
      <c r="M583">
        <v>3.3398065994691182</v>
      </c>
      <c r="N583">
        <v>0</v>
      </c>
    </row>
    <row r="584" spans="9:14" x14ac:dyDescent="0.3">
      <c r="I584">
        <v>581</v>
      </c>
      <c r="J584">
        <v>4.2804628538091416</v>
      </c>
      <c r="K584">
        <v>0</v>
      </c>
      <c r="L584">
        <v>0</v>
      </c>
      <c r="M584">
        <v>4.2804628538091416</v>
      </c>
      <c r="N584">
        <v>0</v>
      </c>
    </row>
    <row r="585" spans="9:14" x14ac:dyDescent="0.3">
      <c r="I585">
        <v>582</v>
      </c>
      <c r="J585">
        <v>2.8845792586545902</v>
      </c>
      <c r="K585">
        <v>0</v>
      </c>
      <c r="L585">
        <v>0</v>
      </c>
      <c r="M585">
        <v>2.8845792586545902</v>
      </c>
      <c r="N585">
        <v>1</v>
      </c>
    </row>
    <row r="586" spans="9:14" x14ac:dyDescent="0.3">
      <c r="I586">
        <v>583</v>
      </c>
      <c r="J586">
        <v>3.089391440335755</v>
      </c>
      <c r="K586">
        <v>0</v>
      </c>
      <c r="L586">
        <v>0</v>
      </c>
      <c r="M586">
        <v>3.089391440335755</v>
      </c>
      <c r="N586">
        <v>0</v>
      </c>
    </row>
    <row r="587" spans="9:14" x14ac:dyDescent="0.3">
      <c r="I587">
        <v>584</v>
      </c>
      <c r="J587">
        <v>3.1919158972559938</v>
      </c>
      <c r="K587">
        <v>0</v>
      </c>
      <c r="L587">
        <v>0</v>
      </c>
      <c r="M587">
        <v>3.1919158972559938</v>
      </c>
      <c r="N587">
        <v>0</v>
      </c>
    </row>
    <row r="588" spans="9:14" x14ac:dyDescent="0.3">
      <c r="I588">
        <v>585</v>
      </c>
      <c r="J588">
        <v>2.6046583796088569</v>
      </c>
      <c r="K588">
        <v>0</v>
      </c>
      <c r="L588">
        <v>0</v>
      </c>
      <c r="M588">
        <v>2.6046583796088569</v>
      </c>
      <c r="N588">
        <v>1</v>
      </c>
    </row>
    <row r="589" spans="9:14" x14ac:dyDescent="0.3">
      <c r="I589">
        <v>586</v>
      </c>
      <c r="J589">
        <v>2.2503634816900222</v>
      </c>
      <c r="K589">
        <v>0</v>
      </c>
      <c r="L589">
        <v>0</v>
      </c>
      <c r="M589">
        <v>2.2503634816900222</v>
      </c>
      <c r="N589">
        <v>1</v>
      </c>
    </row>
    <row r="590" spans="9:14" x14ac:dyDescent="0.3">
      <c r="I590">
        <v>587</v>
      </c>
      <c r="J590">
        <v>2.9366785906124151</v>
      </c>
      <c r="K590">
        <v>0</v>
      </c>
      <c r="L590">
        <v>0</v>
      </c>
      <c r="M590">
        <v>2.9366785906124151</v>
      </c>
      <c r="N590">
        <v>1</v>
      </c>
    </row>
    <row r="591" spans="9:14" x14ac:dyDescent="0.3">
      <c r="I591">
        <v>588</v>
      </c>
      <c r="J591">
        <v>2.4312708791741979</v>
      </c>
      <c r="K591">
        <v>0</v>
      </c>
      <c r="L591">
        <v>0</v>
      </c>
      <c r="M591">
        <v>2.4312708791741979</v>
      </c>
      <c r="N591">
        <v>1</v>
      </c>
    </row>
    <row r="592" spans="9:14" x14ac:dyDescent="0.3">
      <c r="I592">
        <v>589</v>
      </c>
      <c r="J592">
        <v>2.475807751281808</v>
      </c>
      <c r="K592">
        <v>0</v>
      </c>
      <c r="L592">
        <v>0</v>
      </c>
      <c r="M592">
        <v>2.475807751281808</v>
      </c>
      <c r="N592">
        <v>1</v>
      </c>
    </row>
    <row r="593" spans="9:14" x14ac:dyDescent="0.3">
      <c r="I593">
        <v>590</v>
      </c>
      <c r="J593">
        <v>3.267226088927961</v>
      </c>
      <c r="K593">
        <v>0</v>
      </c>
      <c r="L593">
        <v>0</v>
      </c>
      <c r="M593">
        <v>3.267226088927961</v>
      </c>
      <c r="N593">
        <v>0</v>
      </c>
    </row>
    <row r="594" spans="9:14" x14ac:dyDescent="0.3">
      <c r="I594">
        <v>591</v>
      </c>
      <c r="J594">
        <v>2.5615017931984561</v>
      </c>
      <c r="K594">
        <v>0</v>
      </c>
      <c r="L594">
        <v>0</v>
      </c>
      <c r="M594">
        <v>2.5615017931984561</v>
      </c>
      <c r="N594">
        <v>1</v>
      </c>
    </row>
    <row r="595" spans="9:14" x14ac:dyDescent="0.3">
      <c r="I595">
        <v>592</v>
      </c>
      <c r="J595">
        <v>2.6961948494812309</v>
      </c>
      <c r="K595">
        <v>0</v>
      </c>
      <c r="L595">
        <v>0</v>
      </c>
      <c r="M595">
        <v>2.6961948494812309</v>
      </c>
      <c r="N595">
        <v>1</v>
      </c>
    </row>
    <row r="596" spans="9:14" x14ac:dyDescent="0.3">
      <c r="I596">
        <v>593</v>
      </c>
      <c r="J596">
        <v>3.6180376426999641</v>
      </c>
      <c r="K596">
        <v>0</v>
      </c>
      <c r="L596">
        <v>0</v>
      </c>
      <c r="M596">
        <v>3.6180376426999641</v>
      </c>
      <c r="N596">
        <v>0</v>
      </c>
    </row>
    <row r="597" spans="9:14" x14ac:dyDescent="0.3">
      <c r="I597">
        <v>594</v>
      </c>
      <c r="J597">
        <v>3.8988365811812171</v>
      </c>
      <c r="K597">
        <v>0</v>
      </c>
      <c r="L597">
        <v>0</v>
      </c>
      <c r="M597">
        <v>3.8988365811812171</v>
      </c>
      <c r="N597">
        <v>0</v>
      </c>
    </row>
    <row r="598" spans="9:14" x14ac:dyDescent="0.3">
      <c r="I598">
        <v>595</v>
      </c>
      <c r="J598">
        <v>2.6065045399962621</v>
      </c>
      <c r="K598">
        <v>0</v>
      </c>
      <c r="L598">
        <v>0</v>
      </c>
      <c r="M598">
        <v>2.6065045399962621</v>
      </c>
      <c r="N598">
        <v>1</v>
      </c>
    </row>
    <row r="599" spans="9:14" x14ac:dyDescent="0.3">
      <c r="I599">
        <v>596</v>
      </c>
      <c r="J599">
        <v>3.7532941822804</v>
      </c>
      <c r="K599">
        <v>0</v>
      </c>
      <c r="L599">
        <v>0</v>
      </c>
      <c r="M599">
        <v>3.7532941822804</v>
      </c>
      <c r="N599">
        <v>0</v>
      </c>
    </row>
    <row r="600" spans="9:14" x14ac:dyDescent="0.3">
      <c r="I600">
        <v>597</v>
      </c>
      <c r="J600">
        <v>2.862203809130683</v>
      </c>
      <c r="K600">
        <v>0</v>
      </c>
      <c r="L600">
        <v>0</v>
      </c>
      <c r="M600">
        <v>2.862203809130683</v>
      </c>
      <c r="N600">
        <v>1</v>
      </c>
    </row>
    <row r="601" spans="9:14" x14ac:dyDescent="0.3">
      <c r="I601">
        <v>598</v>
      </c>
      <c r="J601">
        <v>2.4392086165950859</v>
      </c>
      <c r="K601">
        <v>0</v>
      </c>
      <c r="L601">
        <v>0</v>
      </c>
      <c r="M601">
        <v>2.4392086165950859</v>
      </c>
      <c r="N601">
        <v>1</v>
      </c>
    </row>
    <row r="602" spans="9:14" x14ac:dyDescent="0.3">
      <c r="I602">
        <v>599</v>
      </c>
      <c r="J602">
        <v>3.2893615112722792</v>
      </c>
      <c r="K602">
        <v>0</v>
      </c>
      <c r="L602">
        <v>0</v>
      </c>
      <c r="M602">
        <v>3.2893615112722792</v>
      </c>
      <c r="N602">
        <v>0</v>
      </c>
    </row>
    <row r="603" spans="9:14" x14ac:dyDescent="0.3">
      <c r="I603">
        <v>600</v>
      </c>
      <c r="J603">
        <v>3.5787658503758921</v>
      </c>
      <c r="K603">
        <v>0</v>
      </c>
      <c r="L603">
        <v>0</v>
      </c>
      <c r="M603">
        <v>3.5787658503758921</v>
      </c>
      <c r="N603">
        <v>0</v>
      </c>
    </row>
    <row r="604" spans="9:14" x14ac:dyDescent="0.3">
      <c r="I604">
        <v>601</v>
      </c>
      <c r="J604">
        <v>3.590769599814823</v>
      </c>
      <c r="K604">
        <v>0</v>
      </c>
      <c r="L604">
        <v>0</v>
      </c>
      <c r="M604">
        <v>3.590769599814823</v>
      </c>
      <c r="N604">
        <v>0</v>
      </c>
    </row>
    <row r="605" spans="9:14" x14ac:dyDescent="0.3">
      <c r="I605">
        <v>602</v>
      </c>
      <c r="J605">
        <v>2.9417983136594792</v>
      </c>
      <c r="K605">
        <v>0</v>
      </c>
      <c r="L605">
        <v>0</v>
      </c>
      <c r="M605">
        <v>2.9417983136594792</v>
      </c>
      <c r="N605">
        <v>1</v>
      </c>
    </row>
    <row r="606" spans="9:14" x14ac:dyDescent="0.3">
      <c r="I606">
        <v>603</v>
      </c>
      <c r="J606">
        <v>2.734246893839559</v>
      </c>
      <c r="K606">
        <v>0</v>
      </c>
      <c r="L606">
        <v>0</v>
      </c>
      <c r="M606">
        <v>2.734246893839559</v>
      </c>
      <c r="N606">
        <v>1</v>
      </c>
    </row>
    <row r="607" spans="9:14" x14ac:dyDescent="0.3">
      <c r="I607">
        <v>604</v>
      </c>
      <c r="J607">
        <v>3.5026057181978141</v>
      </c>
      <c r="K607">
        <v>0</v>
      </c>
      <c r="L607">
        <v>0</v>
      </c>
      <c r="M607">
        <v>3.5026057181978141</v>
      </c>
      <c r="N607">
        <v>0</v>
      </c>
    </row>
    <row r="608" spans="9:14" x14ac:dyDescent="0.3">
      <c r="I608">
        <v>605</v>
      </c>
      <c r="J608">
        <v>3.6036826391540759</v>
      </c>
      <c r="K608">
        <v>0</v>
      </c>
      <c r="L608">
        <v>0</v>
      </c>
      <c r="M608">
        <v>3.6036826391540759</v>
      </c>
      <c r="N608">
        <v>0</v>
      </c>
    </row>
    <row r="609" spans="9:14" x14ac:dyDescent="0.3">
      <c r="I609">
        <v>606</v>
      </c>
      <c r="J609">
        <v>3.2697979610649699</v>
      </c>
      <c r="K609">
        <v>0</v>
      </c>
      <c r="L609">
        <v>0</v>
      </c>
      <c r="M609">
        <v>3.2697979610649699</v>
      </c>
      <c r="N609">
        <v>0</v>
      </c>
    </row>
    <row r="610" spans="9:14" x14ac:dyDescent="0.3">
      <c r="I610">
        <v>607</v>
      </c>
      <c r="J610">
        <v>2.2923978519803558</v>
      </c>
      <c r="K610">
        <v>0</v>
      </c>
      <c r="L610">
        <v>0</v>
      </c>
      <c r="M610">
        <v>2.2923978519803558</v>
      </c>
      <c r="N610">
        <v>1</v>
      </c>
    </row>
    <row r="611" spans="9:14" x14ac:dyDescent="0.3">
      <c r="I611">
        <v>608</v>
      </c>
      <c r="J611">
        <v>3.6406642537236449</v>
      </c>
      <c r="K611">
        <v>0</v>
      </c>
      <c r="L611">
        <v>0</v>
      </c>
      <c r="M611">
        <v>3.6406642537236449</v>
      </c>
      <c r="N611">
        <v>0</v>
      </c>
    </row>
    <row r="612" spans="9:14" x14ac:dyDescent="0.3">
      <c r="I612">
        <v>609</v>
      </c>
      <c r="J612">
        <v>2.860720736429303</v>
      </c>
      <c r="K612">
        <v>0</v>
      </c>
      <c r="L612">
        <v>0</v>
      </c>
      <c r="M612">
        <v>2.860720736429303</v>
      </c>
      <c r="N612">
        <v>1</v>
      </c>
    </row>
    <row r="613" spans="9:14" x14ac:dyDescent="0.3">
      <c r="I613">
        <v>610</v>
      </c>
      <c r="J613">
        <v>2.765296745735832</v>
      </c>
      <c r="K613">
        <v>1</v>
      </c>
      <c r="L613">
        <v>1.9947184303872461</v>
      </c>
      <c r="M613">
        <v>4.760015176123078</v>
      </c>
      <c r="N613">
        <v>0</v>
      </c>
    </row>
    <row r="614" spans="9:14" x14ac:dyDescent="0.3">
      <c r="I614">
        <v>611</v>
      </c>
      <c r="J614">
        <v>2.7801394289205499</v>
      </c>
      <c r="K614">
        <v>0</v>
      </c>
      <c r="L614">
        <v>0</v>
      </c>
      <c r="M614">
        <v>2.7801394289205499</v>
      </c>
      <c r="N614">
        <v>1</v>
      </c>
    </row>
    <row r="615" spans="9:14" x14ac:dyDescent="0.3">
      <c r="I615">
        <v>612</v>
      </c>
      <c r="J615">
        <v>3.419982694920066</v>
      </c>
      <c r="K615">
        <v>0</v>
      </c>
      <c r="L615">
        <v>0</v>
      </c>
      <c r="M615">
        <v>3.419982694920066</v>
      </c>
      <c r="N615">
        <v>0</v>
      </c>
    </row>
    <row r="616" spans="9:14" x14ac:dyDescent="0.3">
      <c r="I616">
        <v>613</v>
      </c>
      <c r="J616">
        <v>3.6667970897947888</v>
      </c>
      <c r="K616">
        <v>0</v>
      </c>
      <c r="L616">
        <v>0</v>
      </c>
      <c r="M616">
        <v>3.6667970897947888</v>
      </c>
      <c r="N616">
        <v>0</v>
      </c>
    </row>
    <row r="617" spans="9:14" x14ac:dyDescent="0.3">
      <c r="I617">
        <v>614</v>
      </c>
      <c r="J617">
        <v>2.968591582277468</v>
      </c>
      <c r="K617">
        <v>0</v>
      </c>
      <c r="L617">
        <v>0</v>
      </c>
      <c r="M617">
        <v>2.968591582277468</v>
      </c>
      <c r="N617">
        <v>1</v>
      </c>
    </row>
    <row r="618" spans="9:14" x14ac:dyDescent="0.3">
      <c r="I618">
        <v>615</v>
      </c>
      <c r="J618">
        <v>3.500880710762277</v>
      </c>
      <c r="K618">
        <v>0</v>
      </c>
      <c r="L618">
        <v>0</v>
      </c>
      <c r="M618">
        <v>3.500880710762277</v>
      </c>
      <c r="N618">
        <v>0</v>
      </c>
    </row>
    <row r="619" spans="9:14" x14ac:dyDescent="0.3">
      <c r="I619">
        <v>616</v>
      </c>
      <c r="J619">
        <v>2.037465849795284</v>
      </c>
      <c r="K619">
        <v>0</v>
      </c>
      <c r="L619">
        <v>0</v>
      </c>
      <c r="M619">
        <v>2.037465849795284</v>
      </c>
      <c r="N619">
        <v>1</v>
      </c>
    </row>
    <row r="620" spans="9:14" x14ac:dyDescent="0.3">
      <c r="I620">
        <v>617</v>
      </c>
      <c r="J620">
        <v>2.9609276019647499</v>
      </c>
      <c r="K620">
        <v>0</v>
      </c>
      <c r="L620">
        <v>0</v>
      </c>
      <c r="M620">
        <v>2.9609276019647499</v>
      </c>
      <c r="N620">
        <v>1</v>
      </c>
    </row>
    <row r="621" spans="9:14" x14ac:dyDescent="0.3">
      <c r="I621">
        <v>618</v>
      </c>
      <c r="J621">
        <v>3.4926877578189139</v>
      </c>
      <c r="K621">
        <v>0</v>
      </c>
      <c r="L621">
        <v>0</v>
      </c>
      <c r="M621">
        <v>3.4926877578189139</v>
      </c>
      <c r="N621">
        <v>0</v>
      </c>
    </row>
    <row r="622" spans="9:14" x14ac:dyDescent="0.3">
      <c r="I622">
        <v>619</v>
      </c>
      <c r="J622">
        <v>2.8888565559745212</v>
      </c>
      <c r="K622">
        <v>0</v>
      </c>
      <c r="L622">
        <v>0</v>
      </c>
      <c r="M622">
        <v>2.8888565559745212</v>
      </c>
      <c r="N622">
        <v>1</v>
      </c>
    </row>
    <row r="623" spans="9:14" x14ac:dyDescent="0.3">
      <c r="I623">
        <v>620</v>
      </c>
      <c r="J623">
        <v>3.6723982338488068</v>
      </c>
      <c r="K623">
        <v>0</v>
      </c>
      <c r="L623">
        <v>0</v>
      </c>
      <c r="M623">
        <v>3.6723982338488068</v>
      </c>
      <c r="N623">
        <v>0</v>
      </c>
    </row>
    <row r="624" spans="9:14" x14ac:dyDescent="0.3">
      <c r="I624">
        <v>621</v>
      </c>
      <c r="J624">
        <v>3.1965148464298858</v>
      </c>
      <c r="K624">
        <v>0</v>
      </c>
      <c r="L624">
        <v>0</v>
      </c>
      <c r="M624">
        <v>3.1965148464298858</v>
      </c>
      <c r="N624">
        <v>0</v>
      </c>
    </row>
    <row r="625" spans="9:14" x14ac:dyDescent="0.3">
      <c r="I625">
        <v>622</v>
      </c>
      <c r="J625">
        <v>2.6260578657948588</v>
      </c>
      <c r="K625">
        <v>0</v>
      </c>
      <c r="L625">
        <v>0</v>
      </c>
      <c r="M625">
        <v>2.6260578657948588</v>
      </c>
      <c r="N625">
        <v>1</v>
      </c>
    </row>
    <row r="626" spans="9:14" x14ac:dyDescent="0.3">
      <c r="I626">
        <v>623</v>
      </c>
      <c r="J626">
        <v>2.1573670814701642</v>
      </c>
      <c r="K626">
        <v>0</v>
      </c>
      <c r="L626">
        <v>0</v>
      </c>
      <c r="M626">
        <v>2.1573670814701642</v>
      </c>
      <c r="N626">
        <v>1</v>
      </c>
    </row>
    <row r="627" spans="9:14" x14ac:dyDescent="0.3">
      <c r="I627">
        <v>624</v>
      </c>
      <c r="J627">
        <v>3.5105069845105308</v>
      </c>
      <c r="K627">
        <v>0</v>
      </c>
      <c r="L627">
        <v>0</v>
      </c>
      <c r="M627">
        <v>3.5105069845105308</v>
      </c>
      <c r="N627">
        <v>0</v>
      </c>
    </row>
    <row r="628" spans="9:14" x14ac:dyDescent="0.3">
      <c r="I628">
        <v>625</v>
      </c>
      <c r="J628">
        <v>3.8791237639332201</v>
      </c>
      <c r="K628">
        <v>0</v>
      </c>
      <c r="L628">
        <v>0</v>
      </c>
      <c r="M628">
        <v>3.8791237639332201</v>
      </c>
      <c r="N628">
        <v>0</v>
      </c>
    </row>
    <row r="629" spans="9:14" x14ac:dyDescent="0.3">
      <c r="I629">
        <v>626</v>
      </c>
      <c r="J629">
        <v>2.9287601306410731</v>
      </c>
      <c r="K629">
        <v>0</v>
      </c>
      <c r="L629">
        <v>0</v>
      </c>
      <c r="M629">
        <v>2.9287601306410731</v>
      </c>
      <c r="N629">
        <v>1</v>
      </c>
    </row>
    <row r="630" spans="9:14" x14ac:dyDescent="0.3">
      <c r="I630">
        <v>627</v>
      </c>
      <c r="J630">
        <v>3.7159193476046699</v>
      </c>
      <c r="K630">
        <v>0</v>
      </c>
      <c r="L630">
        <v>0</v>
      </c>
      <c r="M630">
        <v>3.7159193476046699</v>
      </c>
      <c r="N630">
        <v>0</v>
      </c>
    </row>
    <row r="631" spans="9:14" x14ac:dyDescent="0.3">
      <c r="I631">
        <v>628</v>
      </c>
      <c r="J631">
        <v>3.8821122597976978</v>
      </c>
      <c r="K631">
        <v>0</v>
      </c>
      <c r="L631">
        <v>0</v>
      </c>
      <c r="M631">
        <v>3.8821122597976978</v>
      </c>
      <c r="N631">
        <v>0</v>
      </c>
    </row>
    <row r="632" spans="9:14" x14ac:dyDescent="0.3">
      <c r="I632">
        <v>629</v>
      </c>
      <c r="J632">
        <v>2.4861250276542082</v>
      </c>
      <c r="K632">
        <v>1</v>
      </c>
      <c r="L632">
        <v>1.627117600828383</v>
      </c>
      <c r="M632">
        <v>4.1132426284825909</v>
      </c>
      <c r="N632">
        <v>0</v>
      </c>
    </row>
    <row r="633" spans="9:14" x14ac:dyDescent="0.3">
      <c r="I633">
        <v>630</v>
      </c>
      <c r="J633">
        <v>2.472890835993296</v>
      </c>
      <c r="K633">
        <v>0</v>
      </c>
      <c r="L633">
        <v>0</v>
      </c>
      <c r="M633">
        <v>2.472890835993296</v>
      </c>
      <c r="N633">
        <v>1</v>
      </c>
    </row>
    <row r="634" spans="9:14" x14ac:dyDescent="0.3">
      <c r="I634">
        <v>631</v>
      </c>
      <c r="J634">
        <v>3.7228276969689058</v>
      </c>
      <c r="K634">
        <v>0</v>
      </c>
      <c r="L634">
        <v>0</v>
      </c>
      <c r="M634">
        <v>3.7228276969689058</v>
      </c>
      <c r="N634">
        <v>0</v>
      </c>
    </row>
    <row r="635" spans="9:14" x14ac:dyDescent="0.3">
      <c r="I635">
        <v>632</v>
      </c>
      <c r="J635">
        <v>2.3342627953723891</v>
      </c>
      <c r="K635">
        <v>1</v>
      </c>
      <c r="L635">
        <v>1.977739734593853</v>
      </c>
      <c r="M635">
        <v>4.312002529966243</v>
      </c>
      <c r="N635">
        <v>0</v>
      </c>
    </row>
    <row r="636" spans="9:14" x14ac:dyDescent="0.3">
      <c r="I636">
        <v>633</v>
      </c>
      <c r="J636">
        <v>2.3340064589016918</v>
      </c>
      <c r="K636">
        <v>0</v>
      </c>
      <c r="L636">
        <v>0</v>
      </c>
      <c r="M636">
        <v>2.3340064589016918</v>
      </c>
      <c r="N636">
        <v>1</v>
      </c>
    </row>
    <row r="637" spans="9:14" x14ac:dyDescent="0.3">
      <c r="I637">
        <v>634</v>
      </c>
      <c r="J637">
        <v>4.3234627160316723</v>
      </c>
      <c r="K637">
        <v>0</v>
      </c>
      <c r="L637">
        <v>0</v>
      </c>
      <c r="M637">
        <v>4.3234627160316723</v>
      </c>
      <c r="N637">
        <v>0</v>
      </c>
    </row>
    <row r="638" spans="9:14" x14ac:dyDescent="0.3">
      <c r="I638">
        <v>635</v>
      </c>
      <c r="J638">
        <v>3.5704546339262229</v>
      </c>
      <c r="K638">
        <v>0</v>
      </c>
      <c r="L638">
        <v>0</v>
      </c>
      <c r="M638">
        <v>3.5704546339262229</v>
      </c>
      <c r="N638">
        <v>0</v>
      </c>
    </row>
    <row r="639" spans="9:14" x14ac:dyDescent="0.3">
      <c r="I639">
        <v>636</v>
      </c>
      <c r="J639">
        <v>3.2602821732689522</v>
      </c>
      <c r="K639">
        <v>0</v>
      </c>
      <c r="L639">
        <v>0</v>
      </c>
      <c r="M639">
        <v>3.2602821732689522</v>
      </c>
      <c r="N639">
        <v>0</v>
      </c>
    </row>
    <row r="640" spans="9:14" x14ac:dyDescent="0.3">
      <c r="I640">
        <v>637</v>
      </c>
      <c r="J640">
        <v>2.785161196696603</v>
      </c>
      <c r="K640">
        <v>0</v>
      </c>
      <c r="L640">
        <v>0</v>
      </c>
      <c r="M640">
        <v>2.785161196696603</v>
      </c>
      <c r="N640">
        <v>1</v>
      </c>
    </row>
    <row r="641" spans="9:14" x14ac:dyDescent="0.3">
      <c r="I641">
        <v>638</v>
      </c>
      <c r="J641">
        <v>2.9525614621977461</v>
      </c>
      <c r="K641">
        <v>0</v>
      </c>
      <c r="L641">
        <v>0</v>
      </c>
      <c r="M641">
        <v>2.9525614621977461</v>
      </c>
      <c r="N641">
        <v>1</v>
      </c>
    </row>
    <row r="642" spans="9:14" x14ac:dyDescent="0.3">
      <c r="I642">
        <v>639</v>
      </c>
      <c r="J642">
        <v>2.6262102389683379</v>
      </c>
      <c r="K642">
        <v>0</v>
      </c>
      <c r="L642">
        <v>0</v>
      </c>
      <c r="M642">
        <v>2.6262102389683379</v>
      </c>
      <c r="N642">
        <v>1</v>
      </c>
    </row>
    <row r="643" spans="9:14" x14ac:dyDescent="0.3">
      <c r="I643">
        <v>640</v>
      </c>
      <c r="J643">
        <v>2.685285716686336</v>
      </c>
      <c r="K643">
        <v>0</v>
      </c>
      <c r="L643">
        <v>0</v>
      </c>
      <c r="M643">
        <v>2.685285716686336</v>
      </c>
      <c r="N643">
        <v>1</v>
      </c>
    </row>
    <row r="644" spans="9:14" x14ac:dyDescent="0.3">
      <c r="I644">
        <v>641</v>
      </c>
      <c r="J644">
        <v>3.664760396870244</v>
      </c>
      <c r="K644">
        <v>1</v>
      </c>
      <c r="L644">
        <v>1.5441403841944139</v>
      </c>
      <c r="M644">
        <v>5.2089007810646573</v>
      </c>
      <c r="N644">
        <v>0</v>
      </c>
    </row>
    <row r="645" spans="9:14" x14ac:dyDescent="0.3">
      <c r="I645">
        <v>642</v>
      </c>
      <c r="J645">
        <v>3.8099883800422609</v>
      </c>
      <c r="K645">
        <v>1</v>
      </c>
      <c r="L645">
        <v>1.2257347448357749</v>
      </c>
      <c r="M645">
        <v>5.0357231248780367</v>
      </c>
      <c r="N645">
        <v>0</v>
      </c>
    </row>
    <row r="646" spans="9:14" x14ac:dyDescent="0.3">
      <c r="I646">
        <v>643</v>
      </c>
      <c r="J646">
        <v>2.4104756236741691</v>
      </c>
      <c r="K646">
        <v>0</v>
      </c>
      <c r="L646">
        <v>0</v>
      </c>
      <c r="M646">
        <v>2.4104756236741691</v>
      </c>
      <c r="N646">
        <v>1</v>
      </c>
    </row>
    <row r="647" spans="9:14" x14ac:dyDescent="0.3">
      <c r="I647">
        <v>644</v>
      </c>
      <c r="J647">
        <v>2.6448964263260368</v>
      </c>
      <c r="K647">
        <v>0</v>
      </c>
      <c r="L647">
        <v>0</v>
      </c>
      <c r="M647">
        <v>2.6448964263260368</v>
      </c>
      <c r="N647">
        <v>1</v>
      </c>
    </row>
    <row r="648" spans="9:14" x14ac:dyDescent="0.3">
      <c r="I648">
        <v>645</v>
      </c>
      <c r="J648">
        <v>2.9349665601502211</v>
      </c>
      <c r="K648">
        <v>0</v>
      </c>
      <c r="L648">
        <v>0</v>
      </c>
      <c r="M648">
        <v>2.9349665601502211</v>
      </c>
      <c r="N648">
        <v>1</v>
      </c>
    </row>
    <row r="649" spans="9:14" x14ac:dyDescent="0.3">
      <c r="I649">
        <v>646</v>
      </c>
      <c r="J649">
        <v>2.6349162938396349</v>
      </c>
      <c r="K649">
        <v>0</v>
      </c>
      <c r="L649">
        <v>0</v>
      </c>
      <c r="M649">
        <v>2.6349162938396349</v>
      </c>
      <c r="N649">
        <v>1</v>
      </c>
    </row>
    <row r="650" spans="9:14" x14ac:dyDescent="0.3">
      <c r="I650">
        <v>647</v>
      </c>
      <c r="J650">
        <v>4.0542537110248817</v>
      </c>
      <c r="K650">
        <v>0</v>
      </c>
      <c r="L650">
        <v>0</v>
      </c>
      <c r="M650">
        <v>4.0542537110248817</v>
      </c>
      <c r="N650">
        <v>0</v>
      </c>
    </row>
    <row r="651" spans="9:14" x14ac:dyDescent="0.3">
      <c r="I651">
        <v>648</v>
      </c>
      <c r="J651">
        <v>3.19493530399347</v>
      </c>
      <c r="K651">
        <v>0</v>
      </c>
      <c r="L651">
        <v>0</v>
      </c>
      <c r="M651">
        <v>3.19493530399347</v>
      </c>
      <c r="N651">
        <v>0</v>
      </c>
    </row>
    <row r="652" spans="9:14" x14ac:dyDescent="0.3">
      <c r="I652">
        <v>649</v>
      </c>
      <c r="J652">
        <v>2.4842638824722418</v>
      </c>
      <c r="K652">
        <v>0</v>
      </c>
      <c r="L652">
        <v>0</v>
      </c>
      <c r="M652">
        <v>2.4842638824722418</v>
      </c>
      <c r="N652">
        <v>1</v>
      </c>
    </row>
    <row r="653" spans="9:14" x14ac:dyDescent="0.3">
      <c r="I653">
        <v>650</v>
      </c>
      <c r="J653">
        <v>2.8942511936563098</v>
      </c>
      <c r="K653">
        <v>0</v>
      </c>
      <c r="L653">
        <v>0</v>
      </c>
      <c r="M653">
        <v>2.8942511936563098</v>
      </c>
      <c r="N653">
        <v>1</v>
      </c>
    </row>
    <row r="654" spans="9:14" x14ac:dyDescent="0.3">
      <c r="I654">
        <v>651</v>
      </c>
      <c r="J654">
        <v>2.3940017803945079</v>
      </c>
      <c r="K654">
        <v>0</v>
      </c>
      <c r="L654">
        <v>0</v>
      </c>
      <c r="M654">
        <v>2.3940017803945079</v>
      </c>
      <c r="N654">
        <v>1</v>
      </c>
    </row>
    <row r="655" spans="9:14" x14ac:dyDescent="0.3">
      <c r="I655">
        <v>652</v>
      </c>
      <c r="J655">
        <v>3.5780643426286858</v>
      </c>
      <c r="K655">
        <v>0</v>
      </c>
      <c r="L655">
        <v>0</v>
      </c>
      <c r="M655">
        <v>3.5780643426286858</v>
      </c>
      <c r="N655">
        <v>0</v>
      </c>
    </row>
    <row r="656" spans="9:14" x14ac:dyDescent="0.3">
      <c r="I656">
        <v>653</v>
      </c>
      <c r="J656">
        <v>3.2661610145781479</v>
      </c>
      <c r="K656">
        <v>1</v>
      </c>
      <c r="L656">
        <v>1.576798850894467</v>
      </c>
      <c r="M656">
        <v>4.8429598654726149</v>
      </c>
      <c r="N656">
        <v>0</v>
      </c>
    </row>
    <row r="657" spans="9:14" x14ac:dyDescent="0.3">
      <c r="I657">
        <v>654</v>
      </c>
      <c r="J657">
        <v>2.4609172673480062</v>
      </c>
      <c r="K657">
        <v>0</v>
      </c>
      <c r="L657">
        <v>0</v>
      </c>
      <c r="M657">
        <v>2.4609172673480062</v>
      </c>
      <c r="N657">
        <v>1</v>
      </c>
    </row>
    <row r="658" spans="9:14" x14ac:dyDescent="0.3">
      <c r="I658">
        <v>655</v>
      </c>
      <c r="J658">
        <v>4.4979577053336373</v>
      </c>
      <c r="K658">
        <v>0</v>
      </c>
      <c r="L658">
        <v>0</v>
      </c>
      <c r="M658">
        <v>4.4979577053336373</v>
      </c>
      <c r="N658">
        <v>0</v>
      </c>
    </row>
    <row r="659" spans="9:14" x14ac:dyDescent="0.3">
      <c r="I659">
        <v>656</v>
      </c>
      <c r="J659">
        <v>3.19784755987612</v>
      </c>
      <c r="K659">
        <v>0</v>
      </c>
      <c r="L659">
        <v>0</v>
      </c>
      <c r="M659">
        <v>3.19784755987612</v>
      </c>
      <c r="N659">
        <v>0</v>
      </c>
    </row>
    <row r="660" spans="9:14" x14ac:dyDescent="0.3">
      <c r="I660">
        <v>657</v>
      </c>
      <c r="J660">
        <v>3.559626046748217</v>
      </c>
      <c r="K660">
        <v>0</v>
      </c>
      <c r="L660">
        <v>0</v>
      </c>
      <c r="M660">
        <v>3.559626046748217</v>
      </c>
      <c r="N660">
        <v>0</v>
      </c>
    </row>
    <row r="661" spans="9:14" x14ac:dyDescent="0.3">
      <c r="I661">
        <v>658</v>
      </c>
      <c r="J661">
        <v>3.1041120380506668</v>
      </c>
      <c r="K661">
        <v>0</v>
      </c>
      <c r="L661">
        <v>0</v>
      </c>
      <c r="M661">
        <v>3.1041120380506668</v>
      </c>
      <c r="N661">
        <v>0</v>
      </c>
    </row>
    <row r="662" spans="9:14" x14ac:dyDescent="0.3">
      <c r="I662">
        <v>659</v>
      </c>
      <c r="J662">
        <v>3.315600776408854</v>
      </c>
      <c r="K662">
        <v>0</v>
      </c>
      <c r="L662">
        <v>0</v>
      </c>
      <c r="M662">
        <v>3.315600776408854</v>
      </c>
      <c r="N662">
        <v>0</v>
      </c>
    </row>
    <row r="663" spans="9:14" x14ac:dyDescent="0.3">
      <c r="I663">
        <v>660</v>
      </c>
      <c r="J663">
        <v>3.4963526729776362</v>
      </c>
      <c r="K663">
        <v>0</v>
      </c>
      <c r="L663">
        <v>0</v>
      </c>
      <c r="M663">
        <v>3.4963526729776362</v>
      </c>
      <c r="N663">
        <v>0</v>
      </c>
    </row>
    <row r="664" spans="9:14" x14ac:dyDescent="0.3">
      <c r="I664">
        <v>661</v>
      </c>
      <c r="J664">
        <v>2.4353895981629239</v>
      </c>
      <c r="K664">
        <v>0</v>
      </c>
      <c r="L664">
        <v>0</v>
      </c>
      <c r="M664">
        <v>2.4353895981629239</v>
      </c>
      <c r="N664">
        <v>1</v>
      </c>
    </row>
    <row r="665" spans="9:14" x14ac:dyDescent="0.3">
      <c r="I665">
        <v>662</v>
      </c>
      <c r="J665">
        <v>3.640886315874003</v>
      </c>
      <c r="K665">
        <v>1</v>
      </c>
      <c r="L665">
        <v>1.3955202384545951</v>
      </c>
      <c r="M665">
        <v>5.0364065543285994</v>
      </c>
      <c r="N665">
        <v>0</v>
      </c>
    </row>
    <row r="666" spans="9:14" x14ac:dyDescent="0.3">
      <c r="I666">
        <v>663</v>
      </c>
      <c r="J666">
        <v>2.6467791806679348</v>
      </c>
      <c r="K666">
        <v>0</v>
      </c>
      <c r="L666">
        <v>0</v>
      </c>
      <c r="M666">
        <v>2.6467791806679348</v>
      </c>
      <c r="N666">
        <v>1</v>
      </c>
    </row>
    <row r="667" spans="9:14" x14ac:dyDescent="0.3">
      <c r="I667">
        <v>664</v>
      </c>
      <c r="J667">
        <v>3.7265848979887868</v>
      </c>
      <c r="K667">
        <v>0</v>
      </c>
      <c r="L667">
        <v>0</v>
      </c>
      <c r="M667">
        <v>3.7265848979887868</v>
      </c>
      <c r="N667">
        <v>0</v>
      </c>
    </row>
    <row r="668" spans="9:14" x14ac:dyDescent="0.3">
      <c r="I668">
        <v>665</v>
      </c>
      <c r="J668">
        <v>3.1846487837448709</v>
      </c>
      <c r="K668">
        <v>0</v>
      </c>
      <c r="L668">
        <v>0</v>
      </c>
      <c r="M668">
        <v>3.1846487837448709</v>
      </c>
      <c r="N668">
        <v>0</v>
      </c>
    </row>
    <row r="669" spans="9:14" x14ac:dyDescent="0.3">
      <c r="I669">
        <v>666</v>
      </c>
      <c r="J669">
        <v>3.961406027513088</v>
      </c>
      <c r="K669">
        <v>1</v>
      </c>
      <c r="L669">
        <v>1.352065923025346</v>
      </c>
      <c r="M669">
        <v>5.3134719505384336</v>
      </c>
      <c r="N669">
        <v>0</v>
      </c>
    </row>
    <row r="670" spans="9:14" x14ac:dyDescent="0.3">
      <c r="I670">
        <v>667</v>
      </c>
      <c r="J670">
        <v>2.8394445600894751</v>
      </c>
      <c r="K670">
        <v>0</v>
      </c>
      <c r="L670">
        <v>0</v>
      </c>
      <c r="M670">
        <v>2.8394445600894751</v>
      </c>
      <c r="N670">
        <v>1</v>
      </c>
    </row>
    <row r="671" spans="9:14" x14ac:dyDescent="0.3">
      <c r="I671">
        <v>668</v>
      </c>
      <c r="J671">
        <v>3.075629468163628</v>
      </c>
      <c r="K671">
        <v>0</v>
      </c>
      <c r="L671">
        <v>0</v>
      </c>
      <c r="M671">
        <v>3.075629468163628</v>
      </c>
      <c r="N671">
        <v>0</v>
      </c>
    </row>
    <row r="672" spans="9:14" x14ac:dyDescent="0.3">
      <c r="I672">
        <v>669</v>
      </c>
      <c r="J672">
        <v>2.504831055889384</v>
      </c>
      <c r="K672">
        <v>0</v>
      </c>
      <c r="L672">
        <v>0</v>
      </c>
      <c r="M672">
        <v>2.504831055889384</v>
      </c>
      <c r="N672">
        <v>1</v>
      </c>
    </row>
    <row r="673" spans="9:14" x14ac:dyDescent="0.3">
      <c r="I673">
        <v>670</v>
      </c>
      <c r="J673">
        <v>2.5291695457842298</v>
      </c>
      <c r="K673">
        <v>0</v>
      </c>
      <c r="L673">
        <v>0</v>
      </c>
      <c r="M673">
        <v>2.5291695457842298</v>
      </c>
      <c r="N673">
        <v>1</v>
      </c>
    </row>
    <row r="674" spans="9:14" x14ac:dyDescent="0.3">
      <c r="I674">
        <v>671</v>
      </c>
      <c r="J674">
        <v>2.8770188968510508</v>
      </c>
      <c r="K674">
        <v>0</v>
      </c>
      <c r="L674">
        <v>0</v>
      </c>
      <c r="M674">
        <v>2.8770188968510508</v>
      </c>
      <c r="N674">
        <v>1</v>
      </c>
    </row>
    <row r="675" spans="9:14" x14ac:dyDescent="0.3">
      <c r="I675">
        <v>672</v>
      </c>
      <c r="J675">
        <v>3.2810961923866682</v>
      </c>
      <c r="K675">
        <v>1</v>
      </c>
      <c r="L675">
        <v>1.354648096273811</v>
      </c>
      <c r="M675">
        <v>4.6357442886604794</v>
      </c>
      <c r="N675">
        <v>0</v>
      </c>
    </row>
    <row r="676" spans="9:14" x14ac:dyDescent="0.3">
      <c r="I676">
        <v>673</v>
      </c>
      <c r="J676">
        <v>2.8287444790703189</v>
      </c>
      <c r="K676">
        <v>0</v>
      </c>
      <c r="L676">
        <v>0</v>
      </c>
      <c r="M676">
        <v>2.8287444790703189</v>
      </c>
      <c r="N676">
        <v>1</v>
      </c>
    </row>
    <row r="677" spans="9:14" x14ac:dyDescent="0.3">
      <c r="I677">
        <v>674</v>
      </c>
      <c r="J677">
        <v>3.7005874763675162</v>
      </c>
      <c r="K677">
        <v>0</v>
      </c>
      <c r="L677">
        <v>0</v>
      </c>
      <c r="M677">
        <v>3.7005874763675162</v>
      </c>
      <c r="N677">
        <v>0</v>
      </c>
    </row>
    <row r="678" spans="9:14" x14ac:dyDescent="0.3">
      <c r="I678">
        <v>675</v>
      </c>
      <c r="J678">
        <v>2.3621641903600921</v>
      </c>
      <c r="K678">
        <v>0</v>
      </c>
      <c r="L678">
        <v>0</v>
      </c>
      <c r="M678">
        <v>2.3621641903600921</v>
      </c>
      <c r="N678">
        <v>1</v>
      </c>
    </row>
    <row r="679" spans="9:14" x14ac:dyDescent="0.3">
      <c r="I679">
        <v>676</v>
      </c>
      <c r="J679">
        <v>2.3321024844339791</v>
      </c>
      <c r="K679">
        <v>0</v>
      </c>
      <c r="L679">
        <v>0</v>
      </c>
      <c r="M679">
        <v>2.3321024844339791</v>
      </c>
      <c r="N679">
        <v>1</v>
      </c>
    </row>
    <row r="680" spans="9:14" x14ac:dyDescent="0.3">
      <c r="I680">
        <v>677</v>
      </c>
      <c r="J680">
        <v>3.1820405423736928</v>
      </c>
      <c r="K680">
        <v>1</v>
      </c>
      <c r="L680">
        <v>1.714279442786929</v>
      </c>
      <c r="M680">
        <v>4.8963199851606216</v>
      </c>
      <c r="N680">
        <v>0</v>
      </c>
    </row>
    <row r="681" spans="9:14" x14ac:dyDescent="0.3">
      <c r="I681">
        <v>678</v>
      </c>
      <c r="J681">
        <v>2.352928244758854</v>
      </c>
      <c r="K681">
        <v>1</v>
      </c>
      <c r="L681">
        <v>1.021480274944333</v>
      </c>
      <c r="M681">
        <v>3.3744085197031861</v>
      </c>
      <c r="N681">
        <v>0</v>
      </c>
    </row>
    <row r="682" spans="9:14" x14ac:dyDescent="0.3">
      <c r="I682">
        <v>679</v>
      </c>
      <c r="J682">
        <v>2.3594861107296028</v>
      </c>
      <c r="K682">
        <v>0</v>
      </c>
      <c r="L682">
        <v>0</v>
      </c>
      <c r="M682">
        <v>2.3594861107296028</v>
      </c>
      <c r="N682">
        <v>1</v>
      </c>
    </row>
    <row r="683" spans="9:14" x14ac:dyDescent="0.3">
      <c r="I683">
        <v>680</v>
      </c>
      <c r="J683">
        <v>2.5913871686609302</v>
      </c>
      <c r="K683">
        <v>0</v>
      </c>
      <c r="L683">
        <v>0</v>
      </c>
      <c r="M683">
        <v>2.5913871686609302</v>
      </c>
      <c r="N683">
        <v>1</v>
      </c>
    </row>
    <row r="684" spans="9:14" x14ac:dyDescent="0.3">
      <c r="I684">
        <v>681</v>
      </c>
      <c r="J684">
        <v>3.9799917100065252</v>
      </c>
      <c r="K684">
        <v>0</v>
      </c>
      <c r="L684">
        <v>0</v>
      </c>
      <c r="M684">
        <v>3.9799917100065252</v>
      </c>
      <c r="N684">
        <v>0</v>
      </c>
    </row>
    <row r="685" spans="9:14" x14ac:dyDescent="0.3">
      <c r="I685">
        <v>682</v>
      </c>
      <c r="J685">
        <v>4.2967520821401974</v>
      </c>
      <c r="K685">
        <v>0</v>
      </c>
      <c r="L685">
        <v>0</v>
      </c>
      <c r="M685">
        <v>4.2967520821401974</v>
      </c>
      <c r="N685">
        <v>0</v>
      </c>
    </row>
    <row r="686" spans="9:14" x14ac:dyDescent="0.3">
      <c r="I686">
        <v>683</v>
      </c>
      <c r="J686">
        <v>3.05088169064225</v>
      </c>
      <c r="K686">
        <v>0</v>
      </c>
      <c r="L686">
        <v>0</v>
      </c>
      <c r="M686">
        <v>3.05088169064225</v>
      </c>
      <c r="N686">
        <v>0</v>
      </c>
    </row>
    <row r="687" spans="9:14" x14ac:dyDescent="0.3">
      <c r="I687">
        <v>684</v>
      </c>
      <c r="J687">
        <v>3.9898022676812288</v>
      </c>
      <c r="K687">
        <v>0</v>
      </c>
      <c r="L687">
        <v>0</v>
      </c>
      <c r="M687">
        <v>3.9898022676812288</v>
      </c>
      <c r="N687">
        <v>0</v>
      </c>
    </row>
    <row r="688" spans="9:14" x14ac:dyDescent="0.3">
      <c r="I688">
        <v>685</v>
      </c>
      <c r="J688">
        <v>3.485119636558454</v>
      </c>
      <c r="K688">
        <v>1</v>
      </c>
      <c r="L688">
        <v>1.7865705773125029</v>
      </c>
      <c r="M688">
        <v>5.2716902138709578</v>
      </c>
      <c r="N688">
        <v>0</v>
      </c>
    </row>
    <row r="689" spans="9:14" x14ac:dyDescent="0.3">
      <c r="I689">
        <v>686</v>
      </c>
      <c r="J689">
        <v>3.671094181776855</v>
      </c>
      <c r="K689">
        <v>0</v>
      </c>
      <c r="L689">
        <v>0</v>
      </c>
      <c r="M689">
        <v>3.671094181776855</v>
      </c>
      <c r="N689">
        <v>0</v>
      </c>
    </row>
    <row r="690" spans="9:14" x14ac:dyDescent="0.3">
      <c r="I690">
        <v>687</v>
      </c>
      <c r="J690">
        <v>3.142505915024552</v>
      </c>
      <c r="K690">
        <v>0</v>
      </c>
      <c r="L690">
        <v>0</v>
      </c>
      <c r="M690">
        <v>3.142505915024552</v>
      </c>
      <c r="N690">
        <v>0</v>
      </c>
    </row>
    <row r="691" spans="9:14" x14ac:dyDescent="0.3">
      <c r="I691">
        <v>688</v>
      </c>
      <c r="J691">
        <v>3.4283665166235511</v>
      </c>
      <c r="K691">
        <v>0</v>
      </c>
      <c r="L691">
        <v>0</v>
      </c>
      <c r="M691">
        <v>3.4283665166235511</v>
      </c>
      <c r="N691">
        <v>0</v>
      </c>
    </row>
    <row r="692" spans="9:14" x14ac:dyDescent="0.3">
      <c r="I692">
        <v>689</v>
      </c>
      <c r="J692">
        <v>3.6473711695700279</v>
      </c>
      <c r="K692">
        <v>0</v>
      </c>
      <c r="L692">
        <v>0</v>
      </c>
      <c r="M692">
        <v>3.6473711695700279</v>
      </c>
      <c r="N692">
        <v>0</v>
      </c>
    </row>
    <row r="693" spans="9:14" x14ac:dyDescent="0.3">
      <c r="I693">
        <v>690</v>
      </c>
      <c r="J693">
        <v>2.6036629230191841</v>
      </c>
      <c r="K693">
        <v>0</v>
      </c>
      <c r="L693">
        <v>0</v>
      </c>
      <c r="M693">
        <v>2.6036629230191841</v>
      </c>
      <c r="N693">
        <v>1</v>
      </c>
    </row>
    <row r="694" spans="9:14" x14ac:dyDescent="0.3">
      <c r="I694">
        <v>691</v>
      </c>
      <c r="J694">
        <v>3.4251361151949822</v>
      </c>
      <c r="K694">
        <v>0</v>
      </c>
      <c r="L694">
        <v>0</v>
      </c>
      <c r="M694">
        <v>3.4251361151949822</v>
      </c>
      <c r="N694">
        <v>0</v>
      </c>
    </row>
    <row r="695" spans="9:14" x14ac:dyDescent="0.3">
      <c r="I695">
        <v>692</v>
      </c>
      <c r="J695">
        <v>3.743075511770988</v>
      </c>
      <c r="K695">
        <v>0</v>
      </c>
      <c r="L695">
        <v>0</v>
      </c>
      <c r="M695">
        <v>3.743075511770988</v>
      </c>
      <c r="N695">
        <v>0</v>
      </c>
    </row>
    <row r="696" spans="9:14" x14ac:dyDescent="0.3">
      <c r="I696">
        <v>693</v>
      </c>
      <c r="J696">
        <v>3.183555503152887</v>
      </c>
      <c r="K696">
        <v>1</v>
      </c>
      <c r="L696">
        <v>1.6438966493087821</v>
      </c>
      <c r="M696">
        <v>4.8274521524616691</v>
      </c>
      <c r="N696">
        <v>0</v>
      </c>
    </row>
    <row r="697" spans="9:14" x14ac:dyDescent="0.3">
      <c r="I697">
        <v>694</v>
      </c>
      <c r="J697">
        <v>3.2721028077517351</v>
      </c>
      <c r="K697">
        <v>0</v>
      </c>
      <c r="L697">
        <v>0</v>
      </c>
      <c r="M697">
        <v>3.2721028077517351</v>
      </c>
      <c r="N697">
        <v>0</v>
      </c>
    </row>
    <row r="698" spans="9:14" x14ac:dyDescent="0.3">
      <c r="I698">
        <v>695</v>
      </c>
      <c r="J698">
        <v>2.7125962839923079</v>
      </c>
      <c r="K698">
        <v>1</v>
      </c>
      <c r="L698">
        <v>1.1498768205880709</v>
      </c>
      <c r="M698">
        <v>3.8624731045803791</v>
      </c>
      <c r="N698">
        <v>0</v>
      </c>
    </row>
    <row r="699" spans="9:14" x14ac:dyDescent="0.3">
      <c r="I699">
        <v>696</v>
      </c>
      <c r="J699">
        <v>3.717217062961105</v>
      </c>
      <c r="K699">
        <v>1</v>
      </c>
      <c r="L699">
        <v>1.467468290750402</v>
      </c>
      <c r="M699">
        <v>5.1846853537115072</v>
      </c>
      <c r="N699">
        <v>0</v>
      </c>
    </row>
    <row r="700" spans="9:14" x14ac:dyDescent="0.3">
      <c r="I700">
        <v>697</v>
      </c>
      <c r="J700">
        <v>2.9020623620757262</v>
      </c>
      <c r="K700">
        <v>1</v>
      </c>
      <c r="L700">
        <v>1.680551708155682</v>
      </c>
      <c r="M700">
        <v>4.5826140702314078</v>
      </c>
      <c r="N700">
        <v>0</v>
      </c>
    </row>
    <row r="701" spans="9:14" x14ac:dyDescent="0.3">
      <c r="I701">
        <v>698</v>
      </c>
      <c r="J701">
        <v>2.8286826397966398</v>
      </c>
      <c r="K701">
        <v>1</v>
      </c>
      <c r="L701">
        <v>1.2532196481365361</v>
      </c>
      <c r="M701">
        <v>4.0819022879331763</v>
      </c>
      <c r="N701">
        <v>0</v>
      </c>
    </row>
    <row r="702" spans="9:14" x14ac:dyDescent="0.3">
      <c r="I702">
        <v>699</v>
      </c>
      <c r="J702">
        <v>3.1111018372407599</v>
      </c>
      <c r="K702">
        <v>0</v>
      </c>
      <c r="L702">
        <v>0</v>
      </c>
      <c r="M702">
        <v>3.1111018372407599</v>
      </c>
      <c r="N702">
        <v>0</v>
      </c>
    </row>
    <row r="703" spans="9:14" x14ac:dyDescent="0.3">
      <c r="I703">
        <v>700</v>
      </c>
      <c r="J703">
        <v>4.4790692055124293</v>
      </c>
      <c r="K703">
        <v>0</v>
      </c>
      <c r="L703">
        <v>0</v>
      </c>
      <c r="M703">
        <v>4.4790692055124293</v>
      </c>
      <c r="N703">
        <v>0</v>
      </c>
    </row>
    <row r="704" spans="9:14" x14ac:dyDescent="0.3">
      <c r="I704">
        <v>701</v>
      </c>
      <c r="J704">
        <v>3.2599546205659919</v>
      </c>
      <c r="K704">
        <v>1</v>
      </c>
      <c r="L704">
        <v>1.8295111821409791</v>
      </c>
      <c r="M704">
        <v>5.0894658027069717</v>
      </c>
      <c r="N704">
        <v>0</v>
      </c>
    </row>
    <row r="705" spans="9:14" x14ac:dyDescent="0.3">
      <c r="I705">
        <v>702</v>
      </c>
      <c r="J705">
        <v>3.9316822516142</v>
      </c>
      <c r="K705">
        <v>0</v>
      </c>
      <c r="L705">
        <v>0</v>
      </c>
      <c r="M705">
        <v>3.9316822516142</v>
      </c>
      <c r="N705">
        <v>0</v>
      </c>
    </row>
    <row r="706" spans="9:14" x14ac:dyDescent="0.3">
      <c r="I706">
        <v>703</v>
      </c>
      <c r="J706">
        <v>3.0205699260026768</v>
      </c>
      <c r="K706">
        <v>0</v>
      </c>
      <c r="L706">
        <v>0</v>
      </c>
      <c r="M706">
        <v>3.0205699260026768</v>
      </c>
      <c r="N706">
        <v>0</v>
      </c>
    </row>
    <row r="707" spans="9:14" x14ac:dyDescent="0.3">
      <c r="I707">
        <v>704</v>
      </c>
      <c r="J707">
        <v>3.4208151505794588</v>
      </c>
      <c r="K707">
        <v>0</v>
      </c>
      <c r="L707">
        <v>0</v>
      </c>
      <c r="M707">
        <v>3.4208151505794588</v>
      </c>
      <c r="N707">
        <v>0</v>
      </c>
    </row>
    <row r="708" spans="9:14" x14ac:dyDescent="0.3">
      <c r="I708">
        <v>705</v>
      </c>
      <c r="J708">
        <v>3.0677979039539789</v>
      </c>
      <c r="K708">
        <v>0</v>
      </c>
      <c r="L708">
        <v>0</v>
      </c>
      <c r="M708">
        <v>3.0677979039539789</v>
      </c>
      <c r="N708">
        <v>0</v>
      </c>
    </row>
    <row r="709" spans="9:14" x14ac:dyDescent="0.3">
      <c r="I709">
        <v>706</v>
      </c>
      <c r="J709">
        <v>3.1307861299847559</v>
      </c>
      <c r="K709">
        <v>0</v>
      </c>
      <c r="L709">
        <v>0</v>
      </c>
      <c r="M709">
        <v>3.1307861299847559</v>
      </c>
      <c r="N709">
        <v>0</v>
      </c>
    </row>
    <row r="710" spans="9:14" x14ac:dyDescent="0.3">
      <c r="I710">
        <v>707</v>
      </c>
      <c r="J710">
        <v>3.712609389094498</v>
      </c>
      <c r="K710">
        <v>0</v>
      </c>
      <c r="L710">
        <v>0</v>
      </c>
      <c r="M710">
        <v>3.712609389094498</v>
      </c>
      <c r="N710">
        <v>0</v>
      </c>
    </row>
    <row r="711" spans="9:14" x14ac:dyDescent="0.3">
      <c r="I711">
        <v>708</v>
      </c>
      <c r="J711">
        <v>3.5618849666229022</v>
      </c>
      <c r="K711">
        <v>1</v>
      </c>
      <c r="L711">
        <v>1.4490207206405641</v>
      </c>
      <c r="M711">
        <v>5.0109056872634659</v>
      </c>
      <c r="N711">
        <v>0</v>
      </c>
    </row>
    <row r="712" spans="9:14" x14ac:dyDescent="0.3">
      <c r="I712">
        <v>709</v>
      </c>
      <c r="J712">
        <v>2.8549713524807152</v>
      </c>
      <c r="K712">
        <v>0</v>
      </c>
      <c r="L712">
        <v>0</v>
      </c>
      <c r="M712">
        <v>2.8549713524807152</v>
      </c>
      <c r="N712">
        <v>1</v>
      </c>
    </row>
    <row r="713" spans="9:14" x14ac:dyDescent="0.3">
      <c r="I713">
        <v>710</v>
      </c>
      <c r="J713">
        <v>4.2026015541086608</v>
      </c>
      <c r="K713">
        <v>0</v>
      </c>
      <c r="L713">
        <v>0</v>
      </c>
      <c r="M713">
        <v>4.2026015541086608</v>
      </c>
      <c r="N713">
        <v>0</v>
      </c>
    </row>
    <row r="714" spans="9:14" x14ac:dyDescent="0.3">
      <c r="I714">
        <v>711</v>
      </c>
      <c r="J714">
        <v>3.5891821818990688</v>
      </c>
      <c r="K714">
        <v>0</v>
      </c>
      <c r="L714">
        <v>0</v>
      </c>
      <c r="M714">
        <v>3.5891821818990688</v>
      </c>
      <c r="N714">
        <v>0</v>
      </c>
    </row>
    <row r="715" spans="9:14" x14ac:dyDescent="0.3">
      <c r="I715">
        <v>712</v>
      </c>
      <c r="J715">
        <v>2.995065400307575</v>
      </c>
      <c r="K715">
        <v>0</v>
      </c>
      <c r="L715">
        <v>0</v>
      </c>
      <c r="M715">
        <v>2.995065400307575</v>
      </c>
      <c r="N715">
        <v>1</v>
      </c>
    </row>
    <row r="716" spans="9:14" x14ac:dyDescent="0.3">
      <c r="I716">
        <v>713</v>
      </c>
      <c r="J716">
        <v>2.6100949486885558</v>
      </c>
      <c r="K716">
        <v>1</v>
      </c>
      <c r="L716">
        <v>1.980419615172103</v>
      </c>
      <c r="M716">
        <v>4.5905145638606584</v>
      </c>
      <c r="N716">
        <v>0</v>
      </c>
    </row>
    <row r="717" spans="9:14" x14ac:dyDescent="0.3">
      <c r="I717">
        <v>714</v>
      </c>
      <c r="J717">
        <v>2.6646292240082352</v>
      </c>
      <c r="K717">
        <v>0</v>
      </c>
      <c r="L717">
        <v>0</v>
      </c>
      <c r="M717">
        <v>2.6646292240082352</v>
      </c>
      <c r="N717">
        <v>1</v>
      </c>
    </row>
    <row r="718" spans="9:14" x14ac:dyDescent="0.3">
      <c r="I718">
        <v>715</v>
      </c>
      <c r="J718">
        <v>3.0055691469792229</v>
      </c>
      <c r="K718">
        <v>0</v>
      </c>
      <c r="L718">
        <v>0</v>
      </c>
      <c r="M718">
        <v>3.0055691469792229</v>
      </c>
      <c r="N718">
        <v>0</v>
      </c>
    </row>
    <row r="719" spans="9:14" x14ac:dyDescent="0.3">
      <c r="I719">
        <v>716</v>
      </c>
      <c r="J719">
        <v>3.168657259190617</v>
      </c>
      <c r="K719">
        <v>1</v>
      </c>
      <c r="L719">
        <v>1.45661686585843</v>
      </c>
      <c r="M719">
        <v>4.6252741250490468</v>
      </c>
      <c r="N719">
        <v>0</v>
      </c>
    </row>
    <row r="720" spans="9:14" x14ac:dyDescent="0.3">
      <c r="I720">
        <v>717</v>
      </c>
      <c r="J720">
        <v>2.7885145631773982</v>
      </c>
      <c r="K720">
        <v>0</v>
      </c>
      <c r="L720">
        <v>0</v>
      </c>
      <c r="M720">
        <v>2.7885145631773982</v>
      </c>
      <c r="N720">
        <v>1</v>
      </c>
    </row>
    <row r="721" spans="9:14" x14ac:dyDescent="0.3">
      <c r="I721">
        <v>718</v>
      </c>
      <c r="J721">
        <v>2.9633896654657659</v>
      </c>
      <c r="K721">
        <v>0</v>
      </c>
      <c r="L721">
        <v>0</v>
      </c>
      <c r="M721">
        <v>2.9633896654657659</v>
      </c>
      <c r="N721">
        <v>1</v>
      </c>
    </row>
    <row r="722" spans="9:14" x14ac:dyDescent="0.3">
      <c r="I722">
        <v>719</v>
      </c>
      <c r="J722">
        <v>3.3048710781543051</v>
      </c>
      <c r="K722">
        <v>1</v>
      </c>
      <c r="L722">
        <v>1.4436679767831651</v>
      </c>
      <c r="M722">
        <v>4.7485390549374697</v>
      </c>
      <c r="N722">
        <v>0</v>
      </c>
    </row>
    <row r="723" spans="9:14" x14ac:dyDescent="0.3">
      <c r="I723">
        <v>720</v>
      </c>
      <c r="J723">
        <v>2.3055229223278348</v>
      </c>
      <c r="K723">
        <v>0</v>
      </c>
      <c r="L723">
        <v>0</v>
      </c>
      <c r="M723">
        <v>2.3055229223278348</v>
      </c>
      <c r="N723">
        <v>1</v>
      </c>
    </row>
    <row r="724" spans="9:14" x14ac:dyDescent="0.3">
      <c r="I724">
        <v>721</v>
      </c>
      <c r="J724">
        <v>2.426912836611987</v>
      </c>
      <c r="K724">
        <v>0</v>
      </c>
      <c r="L724">
        <v>0</v>
      </c>
      <c r="M724">
        <v>2.426912836611987</v>
      </c>
      <c r="N724">
        <v>1</v>
      </c>
    </row>
    <row r="725" spans="9:14" x14ac:dyDescent="0.3">
      <c r="I725">
        <v>722</v>
      </c>
      <c r="J725">
        <v>3.0664619559455839</v>
      </c>
      <c r="K725">
        <v>0</v>
      </c>
      <c r="L725">
        <v>0</v>
      </c>
      <c r="M725">
        <v>3.0664619559455839</v>
      </c>
      <c r="N725">
        <v>0</v>
      </c>
    </row>
    <row r="726" spans="9:14" x14ac:dyDescent="0.3">
      <c r="I726">
        <v>723</v>
      </c>
      <c r="J726">
        <v>3.503548287689862</v>
      </c>
      <c r="K726">
        <v>0</v>
      </c>
      <c r="L726">
        <v>0</v>
      </c>
      <c r="M726">
        <v>3.503548287689862</v>
      </c>
      <c r="N726">
        <v>0</v>
      </c>
    </row>
    <row r="727" spans="9:14" x14ac:dyDescent="0.3">
      <c r="I727">
        <v>724</v>
      </c>
      <c r="J727">
        <v>2.5295405544046279</v>
      </c>
      <c r="K727">
        <v>0</v>
      </c>
      <c r="L727">
        <v>0</v>
      </c>
      <c r="M727">
        <v>2.5295405544046279</v>
      </c>
      <c r="N727">
        <v>1</v>
      </c>
    </row>
    <row r="728" spans="9:14" x14ac:dyDescent="0.3">
      <c r="I728">
        <v>725</v>
      </c>
      <c r="J728">
        <v>3.3809230384651721</v>
      </c>
      <c r="K728">
        <v>0</v>
      </c>
      <c r="L728">
        <v>0</v>
      </c>
      <c r="M728">
        <v>3.3809230384651721</v>
      </c>
      <c r="N728">
        <v>0</v>
      </c>
    </row>
    <row r="729" spans="9:14" x14ac:dyDescent="0.3">
      <c r="I729">
        <v>726</v>
      </c>
      <c r="J729">
        <v>2.2523431375156431</v>
      </c>
      <c r="K729">
        <v>0</v>
      </c>
      <c r="L729">
        <v>0</v>
      </c>
      <c r="M729">
        <v>2.2523431375156431</v>
      </c>
      <c r="N729">
        <v>1</v>
      </c>
    </row>
    <row r="730" spans="9:14" x14ac:dyDescent="0.3">
      <c r="I730">
        <v>727</v>
      </c>
      <c r="J730">
        <v>2.345694900659347</v>
      </c>
      <c r="K730">
        <v>0</v>
      </c>
      <c r="L730">
        <v>0</v>
      </c>
      <c r="M730">
        <v>2.345694900659347</v>
      </c>
      <c r="N730">
        <v>1</v>
      </c>
    </row>
    <row r="731" spans="9:14" x14ac:dyDescent="0.3">
      <c r="I731">
        <v>728</v>
      </c>
      <c r="J731">
        <v>3.075855377949785</v>
      </c>
      <c r="K731">
        <v>0</v>
      </c>
      <c r="L731">
        <v>0</v>
      </c>
      <c r="M731">
        <v>3.075855377949785</v>
      </c>
      <c r="N731">
        <v>0</v>
      </c>
    </row>
    <row r="732" spans="9:14" x14ac:dyDescent="0.3">
      <c r="I732">
        <v>729</v>
      </c>
      <c r="J732">
        <v>2.585433975761342</v>
      </c>
      <c r="K732">
        <v>1</v>
      </c>
      <c r="L732">
        <v>1.6344559967353689</v>
      </c>
      <c r="M732">
        <v>4.2198899724967109</v>
      </c>
      <c r="N732">
        <v>0</v>
      </c>
    </row>
    <row r="733" spans="9:14" x14ac:dyDescent="0.3">
      <c r="I733">
        <v>730</v>
      </c>
      <c r="J733">
        <v>2.2483833581340131</v>
      </c>
      <c r="K733">
        <v>0</v>
      </c>
      <c r="L733">
        <v>0</v>
      </c>
      <c r="M733">
        <v>2.2483833581340131</v>
      </c>
      <c r="N733">
        <v>1</v>
      </c>
    </row>
    <row r="734" spans="9:14" x14ac:dyDescent="0.3">
      <c r="I734">
        <v>731</v>
      </c>
      <c r="J734">
        <v>2.3677830424212618</v>
      </c>
      <c r="K734">
        <v>0</v>
      </c>
      <c r="L734">
        <v>0</v>
      </c>
      <c r="M734">
        <v>2.3677830424212618</v>
      </c>
      <c r="N734">
        <v>1</v>
      </c>
    </row>
    <row r="735" spans="9:14" x14ac:dyDescent="0.3">
      <c r="I735">
        <v>732</v>
      </c>
      <c r="J735">
        <v>2.538622428552276</v>
      </c>
      <c r="K735">
        <v>0</v>
      </c>
      <c r="L735">
        <v>0</v>
      </c>
      <c r="M735">
        <v>2.538622428552276</v>
      </c>
      <c r="N735">
        <v>1</v>
      </c>
    </row>
    <row r="736" spans="9:14" x14ac:dyDescent="0.3">
      <c r="I736">
        <v>733</v>
      </c>
      <c r="J736">
        <v>3.558650826572928</v>
      </c>
      <c r="K736">
        <v>1</v>
      </c>
      <c r="L736">
        <v>1.435840473350573</v>
      </c>
      <c r="M736">
        <v>4.9944912999235012</v>
      </c>
      <c r="N736">
        <v>0</v>
      </c>
    </row>
    <row r="737" spans="9:14" x14ac:dyDescent="0.3">
      <c r="I737">
        <v>734</v>
      </c>
      <c r="J737">
        <v>3.2848611663347671</v>
      </c>
      <c r="K737">
        <v>0</v>
      </c>
      <c r="L737">
        <v>0</v>
      </c>
      <c r="M737">
        <v>3.2848611663347671</v>
      </c>
      <c r="N737">
        <v>0</v>
      </c>
    </row>
    <row r="738" spans="9:14" x14ac:dyDescent="0.3">
      <c r="I738">
        <v>735</v>
      </c>
      <c r="J738">
        <v>4.0314256854785553</v>
      </c>
      <c r="K738">
        <v>0</v>
      </c>
      <c r="L738">
        <v>0</v>
      </c>
      <c r="M738">
        <v>4.0314256854785553</v>
      </c>
      <c r="N738">
        <v>0</v>
      </c>
    </row>
    <row r="739" spans="9:14" x14ac:dyDescent="0.3">
      <c r="I739">
        <v>736</v>
      </c>
      <c r="J739">
        <v>3.7175784932699698</v>
      </c>
      <c r="K739">
        <v>0</v>
      </c>
      <c r="L739">
        <v>0</v>
      </c>
      <c r="M739">
        <v>3.7175784932699698</v>
      </c>
      <c r="N739">
        <v>0</v>
      </c>
    </row>
    <row r="740" spans="9:14" x14ac:dyDescent="0.3">
      <c r="I740">
        <v>737</v>
      </c>
      <c r="J740">
        <v>3.6622044586472522</v>
      </c>
      <c r="K740">
        <v>0</v>
      </c>
      <c r="L740">
        <v>0</v>
      </c>
      <c r="M740">
        <v>3.6622044586472522</v>
      </c>
      <c r="N740">
        <v>0</v>
      </c>
    </row>
    <row r="741" spans="9:14" x14ac:dyDescent="0.3">
      <c r="I741">
        <v>738</v>
      </c>
      <c r="J741">
        <v>2.3761406391721551</v>
      </c>
      <c r="K741">
        <v>1</v>
      </c>
      <c r="L741">
        <v>1.963529357843079</v>
      </c>
      <c r="M741">
        <v>4.3396699970152337</v>
      </c>
      <c r="N741">
        <v>0</v>
      </c>
    </row>
    <row r="742" spans="9:14" x14ac:dyDescent="0.3">
      <c r="I742">
        <v>739</v>
      </c>
      <c r="J742">
        <v>2.9748957030508061</v>
      </c>
      <c r="K742">
        <v>0</v>
      </c>
      <c r="L742">
        <v>0</v>
      </c>
      <c r="M742">
        <v>2.9748957030508061</v>
      </c>
      <c r="N742">
        <v>1</v>
      </c>
    </row>
    <row r="743" spans="9:14" x14ac:dyDescent="0.3">
      <c r="I743">
        <v>740</v>
      </c>
      <c r="J743">
        <v>3.2483993639175548</v>
      </c>
      <c r="K743">
        <v>0</v>
      </c>
      <c r="L743">
        <v>0</v>
      </c>
      <c r="M743">
        <v>3.2483993639175548</v>
      </c>
      <c r="N743">
        <v>0</v>
      </c>
    </row>
    <row r="744" spans="9:14" x14ac:dyDescent="0.3">
      <c r="I744">
        <v>741</v>
      </c>
      <c r="J744">
        <v>3.1648307335487522</v>
      </c>
      <c r="K744">
        <v>0</v>
      </c>
      <c r="L744">
        <v>0</v>
      </c>
      <c r="M744">
        <v>3.1648307335487522</v>
      </c>
      <c r="N744">
        <v>0</v>
      </c>
    </row>
    <row r="745" spans="9:14" x14ac:dyDescent="0.3">
      <c r="I745">
        <v>742</v>
      </c>
      <c r="J745">
        <v>3.01482221293718</v>
      </c>
      <c r="K745">
        <v>0</v>
      </c>
      <c r="L745">
        <v>0</v>
      </c>
      <c r="M745">
        <v>3.01482221293718</v>
      </c>
      <c r="N745">
        <v>0</v>
      </c>
    </row>
    <row r="746" spans="9:14" x14ac:dyDescent="0.3">
      <c r="I746">
        <v>743</v>
      </c>
      <c r="J746">
        <v>3.9568444046551901</v>
      </c>
      <c r="K746">
        <v>0</v>
      </c>
      <c r="L746">
        <v>0</v>
      </c>
      <c r="M746">
        <v>3.9568444046551901</v>
      </c>
      <c r="N746">
        <v>0</v>
      </c>
    </row>
    <row r="747" spans="9:14" x14ac:dyDescent="0.3">
      <c r="I747">
        <v>744</v>
      </c>
      <c r="J747">
        <v>2.575342687617479</v>
      </c>
      <c r="K747">
        <v>1</v>
      </c>
      <c r="L747">
        <v>1.600802851834376</v>
      </c>
      <c r="M747">
        <v>4.1761455394518547</v>
      </c>
      <c r="N747">
        <v>0</v>
      </c>
    </row>
    <row r="748" spans="9:14" x14ac:dyDescent="0.3">
      <c r="I748">
        <v>745</v>
      </c>
      <c r="J748">
        <v>3.161866433655907</v>
      </c>
      <c r="K748">
        <v>0</v>
      </c>
      <c r="L748">
        <v>0</v>
      </c>
      <c r="M748">
        <v>3.161866433655907</v>
      </c>
      <c r="N748">
        <v>0</v>
      </c>
    </row>
    <row r="749" spans="9:14" x14ac:dyDescent="0.3">
      <c r="I749">
        <v>746</v>
      </c>
      <c r="J749">
        <v>2.8834200393856899</v>
      </c>
      <c r="K749">
        <v>0</v>
      </c>
      <c r="L749">
        <v>0</v>
      </c>
      <c r="M749">
        <v>2.8834200393856899</v>
      </c>
      <c r="N749">
        <v>1</v>
      </c>
    </row>
    <row r="750" spans="9:14" x14ac:dyDescent="0.3">
      <c r="I750">
        <v>747</v>
      </c>
      <c r="J750">
        <v>2.738363282565123</v>
      </c>
      <c r="K750">
        <v>1</v>
      </c>
      <c r="L750">
        <v>1.2369054291391111</v>
      </c>
      <c r="M750">
        <v>3.975268711704234</v>
      </c>
      <c r="N750">
        <v>0</v>
      </c>
    </row>
    <row r="751" spans="9:14" x14ac:dyDescent="0.3">
      <c r="I751">
        <v>748</v>
      </c>
      <c r="J751">
        <v>3.2366263213804811</v>
      </c>
      <c r="K751">
        <v>0</v>
      </c>
      <c r="L751">
        <v>0</v>
      </c>
      <c r="M751">
        <v>3.2366263213804811</v>
      </c>
      <c r="N751">
        <v>0</v>
      </c>
    </row>
    <row r="752" spans="9:14" x14ac:dyDescent="0.3">
      <c r="I752">
        <v>749</v>
      </c>
      <c r="J752">
        <v>3.5715082955315718</v>
      </c>
      <c r="K752">
        <v>0</v>
      </c>
      <c r="L752">
        <v>0</v>
      </c>
      <c r="M752">
        <v>3.5715082955315718</v>
      </c>
      <c r="N752">
        <v>0</v>
      </c>
    </row>
    <row r="753" spans="9:14" x14ac:dyDescent="0.3">
      <c r="I753">
        <v>750</v>
      </c>
      <c r="J753">
        <v>3.3150481582488962</v>
      </c>
      <c r="K753">
        <v>0</v>
      </c>
      <c r="L753">
        <v>0</v>
      </c>
      <c r="M753">
        <v>3.3150481582488962</v>
      </c>
      <c r="N753">
        <v>0</v>
      </c>
    </row>
    <row r="754" spans="9:14" x14ac:dyDescent="0.3">
      <c r="I754">
        <v>751</v>
      </c>
      <c r="J754">
        <v>3.1361654945826198</v>
      </c>
      <c r="K754">
        <v>0</v>
      </c>
      <c r="L754">
        <v>0</v>
      </c>
      <c r="M754">
        <v>3.1361654945826198</v>
      </c>
      <c r="N754">
        <v>0</v>
      </c>
    </row>
    <row r="755" spans="9:14" x14ac:dyDescent="0.3">
      <c r="I755">
        <v>752</v>
      </c>
      <c r="J755">
        <v>3.8766473957426228</v>
      </c>
      <c r="K755">
        <v>1</v>
      </c>
      <c r="L755">
        <v>1.945571506558426</v>
      </c>
      <c r="M755">
        <v>5.8222189023010484</v>
      </c>
      <c r="N755">
        <v>0</v>
      </c>
    </row>
    <row r="756" spans="9:14" x14ac:dyDescent="0.3">
      <c r="I756">
        <v>753</v>
      </c>
      <c r="J756">
        <v>2.5871868449115221</v>
      </c>
      <c r="K756">
        <v>0</v>
      </c>
      <c r="L756">
        <v>0</v>
      </c>
      <c r="M756">
        <v>2.5871868449115221</v>
      </c>
      <c r="N756">
        <v>1</v>
      </c>
    </row>
    <row r="757" spans="9:14" x14ac:dyDescent="0.3">
      <c r="I757">
        <v>754</v>
      </c>
      <c r="J757">
        <v>4.2799802412232406</v>
      </c>
      <c r="K757">
        <v>1</v>
      </c>
      <c r="L757">
        <v>1.1252038158823581</v>
      </c>
      <c r="M757">
        <v>5.4051840571055996</v>
      </c>
      <c r="N757">
        <v>0</v>
      </c>
    </row>
    <row r="758" spans="9:14" x14ac:dyDescent="0.3">
      <c r="I758">
        <v>755</v>
      </c>
      <c r="J758">
        <v>2.864990907890109</v>
      </c>
      <c r="K758">
        <v>0</v>
      </c>
      <c r="L758">
        <v>0</v>
      </c>
      <c r="M758">
        <v>2.864990907890109</v>
      </c>
      <c r="N758">
        <v>1</v>
      </c>
    </row>
    <row r="759" spans="9:14" x14ac:dyDescent="0.3">
      <c r="I759">
        <v>756</v>
      </c>
      <c r="J759">
        <v>3.793972337004488</v>
      </c>
      <c r="K759">
        <v>1</v>
      </c>
      <c r="L759">
        <v>1.694635411972697</v>
      </c>
      <c r="M759">
        <v>5.4886077489771843</v>
      </c>
      <c r="N759">
        <v>0</v>
      </c>
    </row>
    <row r="760" spans="9:14" x14ac:dyDescent="0.3">
      <c r="I760">
        <v>757</v>
      </c>
      <c r="J760">
        <v>3.4593165004633861</v>
      </c>
      <c r="K760">
        <v>1</v>
      </c>
      <c r="L760">
        <v>1.4011607436330911</v>
      </c>
      <c r="M760">
        <v>4.8604772440964776</v>
      </c>
      <c r="N760">
        <v>0</v>
      </c>
    </row>
    <row r="761" spans="9:14" x14ac:dyDescent="0.3">
      <c r="I761">
        <v>758</v>
      </c>
      <c r="J761">
        <v>2.743334105440058</v>
      </c>
      <c r="K761">
        <v>1</v>
      </c>
      <c r="L761">
        <v>1.738532441263031</v>
      </c>
      <c r="M761">
        <v>4.4818665467030891</v>
      </c>
      <c r="N761">
        <v>0</v>
      </c>
    </row>
    <row r="762" spans="9:14" x14ac:dyDescent="0.3">
      <c r="I762">
        <v>759</v>
      </c>
      <c r="J762">
        <v>3.720540090608027</v>
      </c>
      <c r="K762">
        <v>0</v>
      </c>
      <c r="L762">
        <v>0</v>
      </c>
      <c r="M762">
        <v>3.720540090608027</v>
      </c>
      <c r="N762">
        <v>0</v>
      </c>
    </row>
    <row r="763" spans="9:14" x14ac:dyDescent="0.3">
      <c r="I763">
        <v>760</v>
      </c>
      <c r="J763">
        <v>2.4252133587897431</v>
      </c>
      <c r="K763">
        <v>0</v>
      </c>
      <c r="L763">
        <v>0</v>
      </c>
      <c r="M763">
        <v>2.4252133587897431</v>
      </c>
      <c r="N763">
        <v>1</v>
      </c>
    </row>
    <row r="764" spans="9:14" x14ac:dyDescent="0.3">
      <c r="I764">
        <v>761</v>
      </c>
      <c r="J764">
        <v>2.832452487444995</v>
      </c>
      <c r="K764">
        <v>1</v>
      </c>
      <c r="L764">
        <v>1.219609960977825</v>
      </c>
      <c r="M764">
        <v>4.05206244842282</v>
      </c>
      <c r="N764">
        <v>0</v>
      </c>
    </row>
    <row r="765" spans="9:14" x14ac:dyDescent="0.3">
      <c r="I765">
        <v>762</v>
      </c>
      <c r="J765">
        <v>2.6667175405802568</v>
      </c>
      <c r="K765">
        <v>0</v>
      </c>
      <c r="L765">
        <v>0</v>
      </c>
      <c r="M765">
        <v>2.6667175405802568</v>
      </c>
      <c r="N765">
        <v>1</v>
      </c>
    </row>
    <row r="766" spans="9:14" x14ac:dyDescent="0.3">
      <c r="I766">
        <v>763</v>
      </c>
      <c r="J766">
        <v>2.6973133377921998</v>
      </c>
      <c r="K766">
        <v>1</v>
      </c>
      <c r="L766">
        <v>1.236496332369154</v>
      </c>
      <c r="M766">
        <v>3.9338096701613541</v>
      </c>
      <c r="N766">
        <v>0</v>
      </c>
    </row>
    <row r="767" spans="9:14" x14ac:dyDescent="0.3">
      <c r="I767">
        <v>764</v>
      </c>
      <c r="J767">
        <v>2.569700394748617</v>
      </c>
      <c r="K767">
        <v>1</v>
      </c>
      <c r="L767">
        <v>1.75396970413524</v>
      </c>
      <c r="M767">
        <v>4.3236700988838566</v>
      </c>
      <c r="N767">
        <v>0</v>
      </c>
    </row>
    <row r="768" spans="9:14" x14ac:dyDescent="0.3">
      <c r="I768">
        <v>765</v>
      </c>
      <c r="J768">
        <v>3.5254603288953912</v>
      </c>
      <c r="K768">
        <v>0</v>
      </c>
      <c r="L768">
        <v>0</v>
      </c>
      <c r="M768">
        <v>3.5254603288953912</v>
      </c>
      <c r="N768">
        <v>0</v>
      </c>
    </row>
    <row r="769" spans="9:14" x14ac:dyDescent="0.3">
      <c r="I769">
        <v>766</v>
      </c>
      <c r="J769">
        <v>2.4332273582955488</v>
      </c>
      <c r="K769">
        <v>0</v>
      </c>
      <c r="L769">
        <v>0</v>
      </c>
      <c r="M769">
        <v>2.4332273582955488</v>
      </c>
      <c r="N769">
        <v>1</v>
      </c>
    </row>
    <row r="770" spans="9:14" x14ac:dyDescent="0.3">
      <c r="I770">
        <v>767</v>
      </c>
      <c r="J770">
        <v>3.046306490622404</v>
      </c>
      <c r="K770">
        <v>1</v>
      </c>
      <c r="L770">
        <v>1.802638319430043</v>
      </c>
      <c r="M770">
        <v>4.8489448100524468</v>
      </c>
      <c r="N770">
        <v>0</v>
      </c>
    </row>
    <row r="771" spans="9:14" x14ac:dyDescent="0.3">
      <c r="I771">
        <v>768</v>
      </c>
      <c r="J771">
        <v>4.3511277456281361</v>
      </c>
      <c r="K771">
        <v>0</v>
      </c>
      <c r="L771">
        <v>0</v>
      </c>
      <c r="M771">
        <v>4.3511277456281361</v>
      </c>
      <c r="N771">
        <v>0</v>
      </c>
    </row>
    <row r="772" spans="9:14" x14ac:dyDescent="0.3">
      <c r="I772">
        <v>769</v>
      </c>
      <c r="J772">
        <v>3.927253855045953</v>
      </c>
      <c r="K772">
        <v>0</v>
      </c>
      <c r="L772">
        <v>0</v>
      </c>
      <c r="M772">
        <v>3.927253855045953</v>
      </c>
      <c r="N772">
        <v>0</v>
      </c>
    </row>
    <row r="773" spans="9:14" x14ac:dyDescent="0.3">
      <c r="I773">
        <v>770</v>
      </c>
      <c r="J773">
        <v>3.0431953342756741</v>
      </c>
      <c r="K773">
        <v>0</v>
      </c>
      <c r="L773">
        <v>0</v>
      </c>
      <c r="M773">
        <v>3.0431953342756741</v>
      </c>
      <c r="N773">
        <v>0</v>
      </c>
    </row>
    <row r="774" spans="9:14" x14ac:dyDescent="0.3">
      <c r="I774">
        <v>771</v>
      </c>
      <c r="J774">
        <v>3.0655992037761579</v>
      </c>
      <c r="K774">
        <v>0</v>
      </c>
      <c r="L774">
        <v>0</v>
      </c>
      <c r="M774">
        <v>3.0655992037761579</v>
      </c>
      <c r="N774">
        <v>0</v>
      </c>
    </row>
    <row r="775" spans="9:14" x14ac:dyDescent="0.3">
      <c r="I775">
        <v>772</v>
      </c>
      <c r="J775">
        <v>2.654704528198049</v>
      </c>
      <c r="K775">
        <v>0</v>
      </c>
      <c r="L775">
        <v>0</v>
      </c>
      <c r="M775">
        <v>2.654704528198049</v>
      </c>
      <c r="N775">
        <v>1</v>
      </c>
    </row>
    <row r="776" spans="9:14" x14ac:dyDescent="0.3">
      <c r="I776">
        <v>773</v>
      </c>
      <c r="J776">
        <v>3.9903164004079912</v>
      </c>
      <c r="K776">
        <v>0</v>
      </c>
      <c r="L776">
        <v>0</v>
      </c>
      <c r="M776">
        <v>3.9903164004079912</v>
      </c>
      <c r="N776">
        <v>0</v>
      </c>
    </row>
    <row r="777" spans="9:14" x14ac:dyDescent="0.3">
      <c r="I777">
        <v>774</v>
      </c>
      <c r="J777">
        <v>3.404312350918671</v>
      </c>
      <c r="K777">
        <v>0</v>
      </c>
      <c r="L777">
        <v>0</v>
      </c>
      <c r="M777">
        <v>3.404312350918671</v>
      </c>
      <c r="N777">
        <v>0</v>
      </c>
    </row>
    <row r="778" spans="9:14" x14ac:dyDescent="0.3">
      <c r="I778">
        <v>775</v>
      </c>
      <c r="J778">
        <v>3.180009493060922</v>
      </c>
      <c r="K778">
        <v>0</v>
      </c>
      <c r="L778">
        <v>0</v>
      </c>
      <c r="M778">
        <v>3.180009493060922</v>
      </c>
      <c r="N778">
        <v>0</v>
      </c>
    </row>
    <row r="779" spans="9:14" x14ac:dyDescent="0.3">
      <c r="I779">
        <v>776</v>
      </c>
      <c r="J779">
        <v>3.235026951488877</v>
      </c>
      <c r="K779">
        <v>1</v>
      </c>
      <c r="L779">
        <v>1.801012944209341</v>
      </c>
      <c r="M779">
        <v>5.0360398956982184</v>
      </c>
      <c r="N779">
        <v>0</v>
      </c>
    </row>
    <row r="780" spans="9:14" x14ac:dyDescent="0.3">
      <c r="I780">
        <v>777</v>
      </c>
      <c r="J780">
        <v>3.668637879836758</v>
      </c>
      <c r="K780">
        <v>0</v>
      </c>
      <c r="L780">
        <v>0</v>
      </c>
      <c r="M780">
        <v>3.668637879836758</v>
      </c>
      <c r="N780">
        <v>0</v>
      </c>
    </row>
    <row r="781" spans="9:14" x14ac:dyDescent="0.3">
      <c r="I781">
        <v>778</v>
      </c>
      <c r="J781">
        <v>3.573846881449847</v>
      </c>
      <c r="K781">
        <v>0</v>
      </c>
      <c r="L781">
        <v>0</v>
      </c>
      <c r="M781">
        <v>3.573846881449847</v>
      </c>
      <c r="N781">
        <v>0</v>
      </c>
    </row>
    <row r="782" spans="9:14" x14ac:dyDescent="0.3">
      <c r="I782">
        <v>779</v>
      </c>
      <c r="J782">
        <v>3.552537681278142</v>
      </c>
      <c r="K782">
        <v>0</v>
      </c>
      <c r="L782">
        <v>0</v>
      </c>
      <c r="M782">
        <v>3.552537681278142</v>
      </c>
      <c r="N782">
        <v>0</v>
      </c>
    </row>
    <row r="783" spans="9:14" x14ac:dyDescent="0.3">
      <c r="I783">
        <v>780</v>
      </c>
      <c r="J783">
        <v>2.9311938001160991</v>
      </c>
      <c r="K783">
        <v>1</v>
      </c>
      <c r="L783">
        <v>1.2322615128539141</v>
      </c>
      <c r="M783">
        <v>4.1634553129700134</v>
      </c>
      <c r="N783">
        <v>0</v>
      </c>
    </row>
    <row r="784" spans="9:14" x14ac:dyDescent="0.3">
      <c r="I784">
        <v>781</v>
      </c>
      <c r="J784">
        <v>2.9923823550445219</v>
      </c>
      <c r="K784">
        <v>0</v>
      </c>
      <c r="L784">
        <v>0</v>
      </c>
      <c r="M784">
        <v>2.9923823550445219</v>
      </c>
      <c r="N784">
        <v>1</v>
      </c>
    </row>
    <row r="785" spans="9:14" x14ac:dyDescent="0.3">
      <c r="I785">
        <v>782</v>
      </c>
      <c r="J785">
        <v>2.8053274419908139</v>
      </c>
      <c r="K785">
        <v>1</v>
      </c>
      <c r="L785">
        <v>1.1242555618117269</v>
      </c>
      <c r="M785">
        <v>3.929583003802541</v>
      </c>
      <c r="N785">
        <v>0</v>
      </c>
    </row>
    <row r="786" spans="9:14" x14ac:dyDescent="0.3">
      <c r="I786">
        <v>783</v>
      </c>
      <c r="J786">
        <v>2.5445389563613521</v>
      </c>
      <c r="K786">
        <v>0</v>
      </c>
      <c r="L786">
        <v>0</v>
      </c>
      <c r="M786">
        <v>2.5445389563613521</v>
      </c>
      <c r="N786">
        <v>1</v>
      </c>
    </row>
    <row r="787" spans="9:14" x14ac:dyDescent="0.3">
      <c r="I787">
        <v>784</v>
      </c>
      <c r="J787">
        <v>3.0270610421455562</v>
      </c>
      <c r="K787">
        <v>0</v>
      </c>
      <c r="L787">
        <v>0</v>
      </c>
      <c r="M787">
        <v>3.0270610421455562</v>
      </c>
      <c r="N787">
        <v>0</v>
      </c>
    </row>
    <row r="788" spans="9:14" x14ac:dyDescent="0.3">
      <c r="I788">
        <v>785</v>
      </c>
      <c r="J788">
        <v>3.4705548524709169</v>
      </c>
      <c r="K788">
        <v>1</v>
      </c>
      <c r="L788">
        <v>1.2704300902329271</v>
      </c>
      <c r="M788">
        <v>4.7409849427038431</v>
      </c>
      <c r="N788">
        <v>0</v>
      </c>
    </row>
    <row r="789" spans="9:14" x14ac:dyDescent="0.3">
      <c r="I789">
        <v>786</v>
      </c>
      <c r="J789">
        <v>3.2430059290497462</v>
      </c>
      <c r="K789">
        <v>0</v>
      </c>
      <c r="L789">
        <v>0</v>
      </c>
      <c r="M789">
        <v>3.2430059290497462</v>
      </c>
      <c r="N789">
        <v>0</v>
      </c>
    </row>
    <row r="790" spans="9:14" x14ac:dyDescent="0.3">
      <c r="I790">
        <v>787</v>
      </c>
      <c r="J790">
        <v>2.9470343469721172</v>
      </c>
      <c r="K790">
        <v>0</v>
      </c>
      <c r="L790">
        <v>0</v>
      </c>
      <c r="M790">
        <v>2.9470343469721172</v>
      </c>
      <c r="N790">
        <v>1</v>
      </c>
    </row>
    <row r="791" spans="9:14" x14ac:dyDescent="0.3">
      <c r="I791">
        <v>788</v>
      </c>
      <c r="J791">
        <v>3.5401295127088699</v>
      </c>
      <c r="K791">
        <v>1</v>
      </c>
      <c r="L791">
        <v>1.9740841788997039</v>
      </c>
      <c r="M791">
        <v>5.5142136916085747</v>
      </c>
      <c r="N791">
        <v>0</v>
      </c>
    </row>
    <row r="792" spans="9:14" x14ac:dyDescent="0.3">
      <c r="I792">
        <v>789</v>
      </c>
      <c r="J792">
        <v>3.525116208236093</v>
      </c>
      <c r="K792">
        <v>0</v>
      </c>
      <c r="L792">
        <v>0</v>
      </c>
      <c r="M792">
        <v>3.525116208236093</v>
      </c>
      <c r="N792">
        <v>0</v>
      </c>
    </row>
    <row r="793" spans="9:14" x14ac:dyDescent="0.3">
      <c r="I793">
        <v>790</v>
      </c>
      <c r="J793">
        <v>3.265765730715549</v>
      </c>
      <c r="K793">
        <v>0</v>
      </c>
      <c r="L793">
        <v>0</v>
      </c>
      <c r="M793">
        <v>3.265765730715549</v>
      </c>
      <c r="N793">
        <v>0</v>
      </c>
    </row>
    <row r="794" spans="9:14" x14ac:dyDescent="0.3">
      <c r="I794">
        <v>791</v>
      </c>
      <c r="J794">
        <v>3.2355580088517479</v>
      </c>
      <c r="K794">
        <v>0</v>
      </c>
      <c r="L794">
        <v>0</v>
      </c>
      <c r="M794">
        <v>3.2355580088517479</v>
      </c>
      <c r="N794">
        <v>0</v>
      </c>
    </row>
    <row r="795" spans="9:14" x14ac:dyDescent="0.3">
      <c r="I795">
        <v>792</v>
      </c>
      <c r="J795">
        <v>3.2763047702709631</v>
      </c>
      <c r="K795">
        <v>1</v>
      </c>
      <c r="L795">
        <v>1.4494727630181421</v>
      </c>
      <c r="M795">
        <v>4.7257775332891043</v>
      </c>
      <c r="N795">
        <v>0</v>
      </c>
    </row>
    <row r="796" spans="9:14" x14ac:dyDescent="0.3">
      <c r="I796">
        <v>793</v>
      </c>
      <c r="J796">
        <v>3.473463935882342</v>
      </c>
      <c r="K796">
        <v>0</v>
      </c>
      <c r="L796">
        <v>0</v>
      </c>
      <c r="M796">
        <v>3.473463935882342</v>
      </c>
      <c r="N796">
        <v>0</v>
      </c>
    </row>
    <row r="797" spans="9:14" x14ac:dyDescent="0.3">
      <c r="I797">
        <v>794</v>
      </c>
      <c r="J797">
        <v>2.9319698980764248</v>
      </c>
      <c r="K797">
        <v>1</v>
      </c>
      <c r="L797">
        <v>1.146935481867889</v>
      </c>
      <c r="M797">
        <v>4.078905379944314</v>
      </c>
      <c r="N797">
        <v>0</v>
      </c>
    </row>
    <row r="798" spans="9:14" x14ac:dyDescent="0.3">
      <c r="I798">
        <v>795</v>
      </c>
      <c r="J798">
        <v>2.5496316234100602</v>
      </c>
      <c r="K798">
        <v>1</v>
      </c>
      <c r="L798">
        <v>1.7440633036847291</v>
      </c>
      <c r="M798">
        <v>4.2936949270947888</v>
      </c>
      <c r="N798">
        <v>0</v>
      </c>
    </row>
    <row r="799" spans="9:14" x14ac:dyDescent="0.3">
      <c r="I799">
        <v>796</v>
      </c>
      <c r="J799">
        <v>3.2406312282820302</v>
      </c>
      <c r="K799">
        <v>0</v>
      </c>
      <c r="L799">
        <v>0</v>
      </c>
      <c r="M799">
        <v>3.2406312282820302</v>
      </c>
      <c r="N799">
        <v>0</v>
      </c>
    </row>
    <row r="800" spans="9:14" x14ac:dyDescent="0.3">
      <c r="I800">
        <v>797</v>
      </c>
      <c r="J800">
        <v>4.1014312560357951</v>
      </c>
      <c r="K800">
        <v>0</v>
      </c>
      <c r="L800">
        <v>0</v>
      </c>
      <c r="M800">
        <v>4.1014312560357951</v>
      </c>
      <c r="N800">
        <v>0</v>
      </c>
    </row>
    <row r="801" spans="9:14" x14ac:dyDescent="0.3">
      <c r="I801">
        <v>798</v>
      </c>
      <c r="J801">
        <v>2.6733412722911511</v>
      </c>
      <c r="K801">
        <v>0</v>
      </c>
      <c r="L801">
        <v>0</v>
      </c>
      <c r="M801">
        <v>2.6733412722911511</v>
      </c>
      <c r="N801">
        <v>1</v>
      </c>
    </row>
    <row r="802" spans="9:14" x14ac:dyDescent="0.3">
      <c r="I802">
        <v>799</v>
      </c>
      <c r="J802">
        <v>2.8132375547718871</v>
      </c>
      <c r="K802">
        <v>0</v>
      </c>
      <c r="L802">
        <v>0</v>
      </c>
      <c r="M802">
        <v>2.8132375547718871</v>
      </c>
      <c r="N802">
        <v>1</v>
      </c>
    </row>
    <row r="803" spans="9:14" x14ac:dyDescent="0.3">
      <c r="I803">
        <v>800</v>
      </c>
      <c r="J803">
        <v>2.678444429536742</v>
      </c>
      <c r="K803">
        <v>0</v>
      </c>
      <c r="L803">
        <v>0</v>
      </c>
      <c r="M803">
        <v>2.678444429536742</v>
      </c>
      <c r="N803">
        <v>1</v>
      </c>
    </row>
    <row r="804" spans="9:14" x14ac:dyDescent="0.3">
      <c r="I804">
        <v>801</v>
      </c>
      <c r="J804">
        <v>2.589829911960988</v>
      </c>
      <c r="K804">
        <v>0</v>
      </c>
      <c r="L804">
        <v>0</v>
      </c>
      <c r="M804">
        <v>2.589829911960988</v>
      </c>
      <c r="N804">
        <v>1</v>
      </c>
    </row>
    <row r="805" spans="9:14" x14ac:dyDescent="0.3">
      <c r="I805">
        <v>802</v>
      </c>
      <c r="J805">
        <v>2.7225514720980879</v>
      </c>
      <c r="K805">
        <v>1</v>
      </c>
      <c r="L805">
        <v>1.028646605749596</v>
      </c>
      <c r="M805">
        <v>3.7511980778476839</v>
      </c>
      <c r="N805">
        <v>0</v>
      </c>
    </row>
    <row r="806" spans="9:14" x14ac:dyDescent="0.3">
      <c r="I806">
        <v>803</v>
      </c>
      <c r="J806">
        <v>2.6752436592994822</v>
      </c>
      <c r="K806">
        <v>0</v>
      </c>
      <c r="L806">
        <v>0</v>
      </c>
      <c r="M806">
        <v>2.6752436592994822</v>
      </c>
      <c r="N806">
        <v>1</v>
      </c>
    </row>
    <row r="807" spans="9:14" x14ac:dyDescent="0.3">
      <c r="I807">
        <v>804</v>
      </c>
      <c r="J807">
        <v>2.309945648129287</v>
      </c>
      <c r="K807">
        <v>0</v>
      </c>
      <c r="L807">
        <v>0</v>
      </c>
      <c r="M807">
        <v>2.309945648129287</v>
      </c>
      <c r="N807">
        <v>1</v>
      </c>
    </row>
    <row r="808" spans="9:14" x14ac:dyDescent="0.3">
      <c r="I808">
        <v>805</v>
      </c>
      <c r="J808">
        <v>2.850691655952541</v>
      </c>
      <c r="K808">
        <v>0</v>
      </c>
      <c r="L808">
        <v>0</v>
      </c>
      <c r="M808">
        <v>2.850691655952541</v>
      </c>
      <c r="N808">
        <v>1</v>
      </c>
    </row>
    <row r="809" spans="9:14" x14ac:dyDescent="0.3">
      <c r="I809">
        <v>806</v>
      </c>
      <c r="J809">
        <v>2.741684078527256</v>
      </c>
      <c r="K809">
        <v>1</v>
      </c>
      <c r="L809">
        <v>1.947917783432803</v>
      </c>
      <c r="M809">
        <v>4.6896018619600586</v>
      </c>
      <c r="N809">
        <v>0</v>
      </c>
    </row>
    <row r="810" spans="9:14" x14ac:dyDescent="0.3">
      <c r="I810">
        <v>807</v>
      </c>
      <c r="J810">
        <v>2.9140363694029889</v>
      </c>
      <c r="K810">
        <v>0</v>
      </c>
      <c r="L810">
        <v>0</v>
      </c>
      <c r="M810">
        <v>2.9140363694029889</v>
      </c>
      <c r="N810">
        <v>1</v>
      </c>
    </row>
    <row r="811" spans="9:14" x14ac:dyDescent="0.3">
      <c r="I811">
        <v>808</v>
      </c>
      <c r="J811">
        <v>3.731996769252953</v>
      </c>
      <c r="K811">
        <v>0</v>
      </c>
      <c r="L811">
        <v>0</v>
      </c>
      <c r="M811">
        <v>3.731996769252953</v>
      </c>
      <c r="N811">
        <v>0</v>
      </c>
    </row>
    <row r="812" spans="9:14" x14ac:dyDescent="0.3">
      <c r="I812">
        <v>809</v>
      </c>
      <c r="J812">
        <v>2.5059427109064569</v>
      </c>
      <c r="K812">
        <v>0</v>
      </c>
      <c r="L812">
        <v>0</v>
      </c>
      <c r="M812">
        <v>2.5059427109064569</v>
      </c>
      <c r="N812">
        <v>1</v>
      </c>
    </row>
    <row r="813" spans="9:14" x14ac:dyDescent="0.3">
      <c r="I813">
        <v>810</v>
      </c>
      <c r="J813">
        <v>4.0017510677253316</v>
      </c>
      <c r="K813">
        <v>0</v>
      </c>
      <c r="L813">
        <v>0</v>
      </c>
      <c r="M813">
        <v>4.0017510677253316</v>
      </c>
      <c r="N813">
        <v>0</v>
      </c>
    </row>
    <row r="814" spans="9:14" x14ac:dyDescent="0.3">
      <c r="I814">
        <v>811</v>
      </c>
      <c r="J814">
        <v>3.4035254375334461</v>
      </c>
      <c r="K814">
        <v>0</v>
      </c>
      <c r="L814">
        <v>0</v>
      </c>
      <c r="M814">
        <v>3.4035254375334461</v>
      </c>
      <c r="N814">
        <v>0</v>
      </c>
    </row>
    <row r="815" spans="9:14" x14ac:dyDescent="0.3">
      <c r="I815">
        <v>812</v>
      </c>
      <c r="J815">
        <v>3.7241723282204822</v>
      </c>
      <c r="K815">
        <v>1</v>
      </c>
      <c r="L815">
        <v>1.7302919019057079</v>
      </c>
      <c r="M815">
        <v>5.4544642301261899</v>
      </c>
      <c r="N815">
        <v>0</v>
      </c>
    </row>
    <row r="816" spans="9:14" x14ac:dyDescent="0.3">
      <c r="I816">
        <v>813</v>
      </c>
      <c r="J816">
        <v>3.828989405454795</v>
      </c>
      <c r="K816">
        <v>0</v>
      </c>
      <c r="L816">
        <v>0</v>
      </c>
      <c r="M816">
        <v>3.828989405454795</v>
      </c>
      <c r="N816">
        <v>0</v>
      </c>
    </row>
    <row r="817" spans="9:14" x14ac:dyDescent="0.3">
      <c r="I817">
        <v>814</v>
      </c>
      <c r="J817">
        <v>3.3781494023443219</v>
      </c>
      <c r="K817">
        <v>0</v>
      </c>
      <c r="L817">
        <v>0</v>
      </c>
      <c r="M817">
        <v>3.3781494023443219</v>
      </c>
      <c r="N817">
        <v>0</v>
      </c>
    </row>
    <row r="818" spans="9:14" x14ac:dyDescent="0.3">
      <c r="I818">
        <v>815</v>
      </c>
      <c r="J818">
        <v>2.9607424360294989</v>
      </c>
      <c r="K818">
        <v>0</v>
      </c>
      <c r="L818">
        <v>0</v>
      </c>
      <c r="M818">
        <v>2.9607424360294989</v>
      </c>
      <c r="N818">
        <v>1</v>
      </c>
    </row>
    <row r="819" spans="9:14" x14ac:dyDescent="0.3">
      <c r="I819">
        <v>816</v>
      </c>
      <c r="J819">
        <v>3.993040257376637</v>
      </c>
      <c r="K819">
        <v>1</v>
      </c>
      <c r="L819">
        <v>1.3959363683555499</v>
      </c>
      <c r="M819">
        <v>5.3889766257321874</v>
      </c>
      <c r="N819">
        <v>0</v>
      </c>
    </row>
    <row r="820" spans="9:14" x14ac:dyDescent="0.3">
      <c r="I820">
        <v>817</v>
      </c>
      <c r="J820">
        <v>3.4694831758688891</v>
      </c>
      <c r="K820">
        <v>0</v>
      </c>
      <c r="L820">
        <v>0</v>
      </c>
      <c r="M820">
        <v>3.4694831758688891</v>
      </c>
      <c r="N820">
        <v>0</v>
      </c>
    </row>
    <row r="821" spans="9:14" x14ac:dyDescent="0.3">
      <c r="I821">
        <v>818</v>
      </c>
      <c r="J821">
        <v>3.7436534821680771</v>
      </c>
      <c r="K821">
        <v>1</v>
      </c>
      <c r="L821">
        <v>1.725117612929574</v>
      </c>
      <c r="M821">
        <v>5.4687710950976509</v>
      </c>
      <c r="N821">
        <v>0</v>
      </c>
    </row>
    <row r="822" spans="9:14" x14ac:dyDescent="0.3">
      <c r="I822">
        <v>819</v>
      </c>
      <c r="J822">
        <v>2.383620526755672</v>
      </c>
      <c r="K822">
        <v>0</v>
      </c>
      <c r="L822">
        <v>0</v>
      </c>
      <c r="M822">
        <v>2.383620526755672</v>
      </c>
      <c r="N822">
        <v>1</v>
      </c>
    </row>
    <row r="823" spans="9:14" x14ac:dyDescent="0.3">
      <c r="I823">
        <v>820</v>
      </c>
      <c r="J823">
        <v>3.95266984476046</v>
      </c>
      <c r="K823">
        <v>0</v>
      </c>
      <c r="L823">
        <v>0</v>
      </c>
      <c r="M823">
        <v>3.95266984476046</v>
      </c>
      <c r="N823">
        <v>0</v>
      </c>
    </row>
    <row r="824" spans="9:14" x14ac:dyDescent="0.3">
      <c r="I824">
        <v>821</v>
      </c>
      <c r="J824">
        <v>2.523245364958401</v>
      </c>
      <c r="K824">
        <v>0</v>
      </c>
      <c r="L824">
        <v>0</v>
      </c>
      <c r="M824">
        <v>2.523245364958401</v>
      </c>
      <c r="N824">
        <v>1</v>
      </c>
    </row>
    <row r="825" spans="9:14" x14ac:dyDescent="0.3">
      <c r="I825">
        <v>822</v>
      </c>
      <c r="J825">
        <v>3.660230184089035</v>
      </c>
      <c r="K825">
        <v>1</v>
      </c>
      <c r="L825">
        <v>1.446185683134033</v>
      </c>
      <c r="M825">
        <v>5.1064158672230677</v>
      </c>
      <c r="N825">
        <v>0</v>
      </c>
    </row>
    <row r="826" spans="9:14" x14ac:dyDescent="0.3">
      <c r="I826">
        <v>823</v>
      </c>
      <c r="J826">
        <v>3.160137112686594</v>
      </c>
      <c r="K826">
        <v>0</v>
      </c>
      <c r="L826">
        <v>0</v>
      </c>
      <c r="M826">
        <v>3.160137112686594</v>
      </c>
      <c r="N826">
        <v>0</v>
      </c>
    </row>
    <row r="827" spans="9:14" x14ac:dyDescent="0.3">
      <c r="I827">
        <v>824</v>
      </c>
      <c r="J827">
        <v>2.5719751789290441</v>
      </c>
      <c r="K827">
        <v>1</v>
      </c>
      <c r="L827">
        <v>1.5115142463369451</v>
      </c>
      <c r="M827">
        <v>4.0834894252659879</v>
      </c>
      <c r="N827">
        <v>0</v>
      </c>
    </row>
    <row r="828" spans="9:14" x14ac:dyDescent="0.3">
      <c r="I828">
        <v>825</v>
      </c>
      <c r="J828">
        <v>3.8160557414330878</v>
      </c>
      <c r="K828">
        <v>0</v>
      </c>
      <c r="L828">
        <v>0</v>
      </c>
      <c r="M828">
        <v>3.8160557414330878</v>
      </c>
      <c r="N828">
        <v>0</v>
      </c>
    </row>
    <row r="829" spans="9:14" x14ac:dyDescent="0.3">
      <c r="I829">
        <v>826</v>
      </c>
      <c r="J829">
        <v>3.970596914657611</v>
      </c>
      <c r="K829">
        <v>0</v>
      </c>
      <c r="L829">
        <v>0</v>
      </c>
      <c r="M829">
        <v>3.970596914657611</v>
      </c>
      <c r="N829">
        <v>0</v>
      </c>
    </row>
    <row r="830" spans="9:14" x14ac:dyDescent="0.3">
      <c r="I830">
        <v>827</v>
      </c>
      <c r="J830">
        <v>3.590979117464709</v>
      </c>
      <c r="K830">
        <v>0</v>
      </c>
      <c r="L830">
        <v>0</v>
      </c>
      <c r="M830">
        <v>3.590979117464709</v>
      </c>
      <c r="N830">
        <v>0</v>
      </c>
    </row>
    <row r="831" spans="9:14" x14ac:dyDescent="0.3">
      <c r="I831">
        <v>828</v>
      </c>
      <c r="J831">
        <v>3.848555085668286</v>
      </c>
      <c r="K831">
        <v>0</v>
      </c>
      <c r="L831">
        <v>0</v>
      </c>
      <c r="M831">
        <v>3.848555085668286</v>
      </c>
      <c r="N831">
        <v>0</v>
      </c>
    </row>
    <row r="832" spans="9:14" x14ac:dyDescent="0.3">
      <c r="I832">
        <v>829</v>
      </c>
      <c r="J832">
        <v>2.415169263627821</v>
      </c>
      <c r="K832">
        <v>0</v>
      </c>
      <c r="L832">
        <v>0</v>
      </c>
      <c r="M832">
        <v>2.415169263627821</v>
      </c>
      <c r="N832">
        <v>1</v>
      </c>
    </row>
    <row r="833" spans="9:14" x14ac:dyDescent="0.3">
      <c r="I833">
        <v>830</v>
      </c>
      <c r="J833">
        <v>2.8200550942160381</v>
      </c>
      <c r="K833">
        <v>0</v>
      </c>
      <c r="L833">
        <v>0</v>
      </c>
      <c r="M833">
        <v>2.8200550942160381</v>
      </c>
      <c r="N833">
        <v>1</v>
      </c>
    </row>
    <row r="834" spans="9:14" x14ac:dyDescent="0.3">
      <c r="I834">
        <v>831</v>
      </c>
      <c r="J834">
        <v>4.1871485417996146</v>
      </c>
      <c r="K834">
        <v>0</v>
      </c>
      <c r="L834">
        <v>0</v>
      </c>
      <c r="M834">
        <v>4.1871485417996146</v>
      </c>
      <c r="N834">
        <v>0</v>
      </c>
    </row>
    <row r="835" spans="9:14" x14ac:dyDescent="0.3">
      <c r="I835">
        <v>832</v>
      </c>
      <c r="J835">
        <v>4.0099950982419728</v>
      </c>
      <c r="K835">
        <v>0</v>
      </c>
      <c r="L835">
        <v>0</v>
      </c>
      <c r="M835">
        <v>4.0099950982419728</v>
      </c>
      <c r="N835">
        <v>0</v>
      </c>
    </row>
    <row r="836" spans="9:14" x14ac:dyDescent="0.3">
      <c r="I836">
        <v>833</v>
      </c>
      <c r="J836">
        <v>2.8405154523670402</v>
      </c>
      <c r="K836">
        <v>1</v>
      </c>
      <c r="L836">
        <v>1.8213521590517101</v>
      </c>
      <c r="M836">
        <v>4.6618676114187494</v>
      </c>
      <c r="N836">
        <v>0</v>
      </c>
    </row>
    <row r="837" spans="9:14" x14ac:dyDescent="0.3">
      <c r="I837">
        <v>834</v>
      </c>
      <c r="J837">
        <v>2.3942863377404922</v>
      </c>
      <c r="K837">
        <v>0</v>
      </c>
      <c r="L837">
        <v>0</v>
      </c>
      <c r="M837">
        <v>2.3942863377404922</v>
      </c>
      <c r="N837">
        <v>1</v>
      </c>
    </row>
    <row r="838" spans="9:14" x14ac:dyDescent="0.3">
      <c r="I838">
        <v>835</v>
      </c>
      <c r="J838">
        <v>4.0565074814635871</v>
      </c>
      <c r="K838">
        <v>1</v>
      </c>
      <c r="L838">
        <v>1.728773120098559</v>
      </c>
      <c r="M838">
        <v>5.7852806015621461</v>
      </c>
      <c r="N838">
        <v>0</v>
      </c>
    </row>
    <row r="839" spans="9:14" x14ac:dyDescent="0.3">
      <c r="I839">
        <v>836</v>
      </c>
      <c r="J839">
        <v>3.9442409330271659</v>
      </c>
      <c r="K839">
        <v>0</v>
      </c>
      <c r="L839">
        <v>0</v>
      </c>
      <c r="M839">
        <v>3.9442409330271659</v>
      </c>
      <c r="N839">
        <v>0</v>
      </c>
    </row>
    <row r="840" spans="9:14" x14ac:dyDescent="0.3">
      <c r="I840">
        <v>837</v>
      </c>
      <c r="J840">
        <v>2.933718942987646</v>
      </c>
      <c r="K840">
        <v>1</v>
      </c>
      <c r="L840">
        <v>1.882269233855079</v>
      </c>
      <c r="M840">
        <v>4.8159881768427244</v>
      </c>
      <c r="N840">
        <v>0</v>
      </c>
    </row>
    <row r="841" spans="9:14" x14ac:dyDescent="0.3">
      <c r="I841">
        <v>838</v>
      </c>
      <c r="J841">
        <v>2.6501684959396039</v>
      </c>
      <c r="K841">
        <v>0</v>
      </c>
      <c r="L841">
        <v>0</v>
      </c>
      <c r="M841">
        <v>2.6501684959396039</v>
      </c>
      <c r="N841">
        <v>1</v>
      </c>
    </row>
    <row r="842" spans="9:14" x14ac:dyDescent="0.3">
      <c r="I842">
        <v>839</v>
      </c>
      <c r="J842">
        <v>2.8031605779191349</v>
      </c>
      <c r="K842">
        <v>1</v>
      </c>
      <c r="L842">
        <v>1.9236550592398169</v>
      </c>
      <c r="M842">
        <v>4.7268156371589516</v>
      </c>
      <c r="N842">
        <v>0</v>
      </c>
    </row>
    <row r="843" spans="9:14" x14ac:dyDescent="0.3">
      <c r="I843">
        <v>840</v>
      </c>
      <c r="J843">
        <v>3.0627837973261229</v>
      </c>
      <c r="K843">
        <v>0</v>
      </c>
      <c r="L843">
        <v>0</v>
      </c>
      <c r="M843">
        <v>3.0627837973261229</v>
      </c>
      <c r="N843">
        <v>0</v>
      </c>
    </row>
    <row r="844" spans="9:14" x14ac:dyDescent="0.3">
      <c r="I844">
        <v>841</v>
      </c>
      <c r="J844">
        <v>3.0185625622820118</v>
      </c>
      <c r="K844">
        <v>0</v>
      </c>
      <c r="L844">
        <v>0</v>
      </c>
      <c r="M844">
        <v>3.0185625622820118</v>
      </c>
      <c r="N844">
        <v>0</v>
      </c>
    </row>
    <row r="845" spans="9:14" x14ac:dyDescent="0.3">
      <c r="I845">
        <v>842</v>
      </c>
      <c r="J845">
        <v>3.2409744578191741</v>
      </c>
      <c r="K845">
        <v>0</v>
      </c>
      <c r="L845">
        <v>0</v>
      </c>
      <c r="M845">
        <v>3.2409744578191741</v>
      </c>
      <c r="N845">
        <v>0</v>
      </c>
    </row>
    <row r="846" spans="9:14" x14ac:dyDescent="0.3">
      <c r="I846">
        <v>843</v>
      </c>
      <c r="J846">
        <v>3.0646090504564811</v>
      </c>
      <c r="K846">
        <v>1</v>
      </c>
      <c r="L846">
        <v>1.710676949774345</v>
      </c>
      <c r="M846">
        <v>4.7752860002308264</v>
      </c>
      <c r="N846">
        <v>0</v>
      </c>
    </row>
    <row r="847" spans="9:14" x14ac:dyDescent="0.3">
      <c r="I847">
        <v>844</v>
      </c>
      <c r="J847">
        <v>2.6696051194815049</v>
      </c>
      <c r="K847">
        <v>0</v>
      </c>
      <c r="L847">
        <v>0</v>
      </c>
      <c r="M847">
        <v>2.6696051194815049</v>
      </c>
      <c r="N847">
        <v>1</v>
      </c>
    </row>
    <row r="848" spans="9:14" x14ac:dyDescent="0.3">
      <c r="I848">
        <v>845</v>
      </c>
      <c r="J848">
        <v>3.7444683991812751</v>
      </c>
      <c r="K848">
        <v>1</v>
      </c>
      <c r="L848">
        <v>1.0476933823240699</v>
      </c>
      <c r="M848">
        <v>4.7921617815053459</v>
      </c>
      <c r="N848">
        <v>0</v>
      </c>
    </row>
    <row r="849" spans="9:14" x14ac:dyDescent="0.3">
      <c r="I849">
        <v>846</v>
      </c>
      <c r="J849">
        <v>3.6033922913050618</v>
      </c>
      <c r="K849">
        <v>0</v>
      </c>
      <c r="L849">
        <v>0</v>
      </c>
      <c r="M849">
        <v>3.6033922913050618</v>
      </c>
      <c r="N849">
        <v>0</v>
      </c>
    </row>
    <row r="850" spans="9:14" x14ac:dyDescent="0.3">
      <c r="I850">
        <v>847</v>
      </c>
      <c r="J850">
        <v>3.3350620106416469</v>
      </c>
      <c r="K850">
        <v>1</v>
      </c>
      <c r="L850">
        <v>1.3217771496765229</v>
      </c>
      <c r="M850">
        <v>4.65683916031817</v>
      </c>
      <c r="N850">
        <v>0</v>
      </c>
    </row>
    <row r="851" spans="9:14" x14ac:dyDescent="0.3">
      <c r="I851">
        <v>848</v>
      </c>
      <c r="J851">
        <v>4.0046543271108321</v>
      </c>
      <c r="K851">
        <v>1</v>
      </c>
      <c r="L851">
        <v>1.6570091934204181</v>
      </c>
      <c r="M851">
        <v>5.66166352053125</v>
      </c>
      <c r="N851">
        <v>0</v>
      </c>
    </row>
    <row r="852" spans="9:14" x14ac:dyDescent="0.3">
      <c r="I852">
        <v>849</v>
      </c>
      <c r="J852">
        <v>3.0426075620015598</v>
      </c>
      <c r="K852">
        <v>0</v>
      </c>
      <c r="L852">
        <v>0</v>
      </c>
      <c r="M852">
        <v>3.0426075620015598</v>
      </c>
      <c r="N852">
        <v>0</v>
      </c>
    </row>
    <row r="853" spans="9:14" x14ac:dyDescent="0.3">
      <c r="I853">
        <v>850</v>
      </c>
      <c r="J853">
        <v>3.2662300032302118</v>
      </c>
      <c r="K853">
        <v>0</v>
      </c>
      <c r="L853">
        <v>0</v>
      </c>
      <c r="M853">
        <v>3.2662300032302118</v>
      </c>
      <c r="N853">
        <v>0</v>
      </c>
    </row>
    <row r="854" spans="9:14" x14ac:dyDescent="0.3">
      <c r="I854">
        <v>851</v>
      </c>
      <c r="J854">
        <v>3.557405698410673</v>
      </c>
      <c r="K854">
        <v>0</v>
      </c>
      <c r="L854">
        <v>0</v>
      </c>
      <c r="M854">
        <v>3.557405698410673</v>
      </c>
      <c r="N854">
        <v>0</v>
      </c>
    </row>
    <row r="855" spans="9:14" x14ac:dyDescent="0.3">
      <c r="I855">
        <v>852</v>
      </c>
      <c r="J855">
        <v>4.1774583088937396</v>
      </c>
      <c r="K855">
        <v>0</v>
      </c>
      <c r="L855">
        <v>0</v>
      </c>
      <c r="M855">
        <v>4.1774583088937396</v>
      </c>
      <c r="N855">
        <v>0</v>
      </c>
    </row>
    <row r="856" spans="9:14" x14ac:dyDescent="0.3">
      <c r="I856">
        <v>853</v>
      </c>
      <c r="J856">
        <v>3.2490068793268212</v>
      </c>
      <c r="K856">
        <v>0</v>
      </c>
      <c r="L856">
        <v>0</v>
      </c>
      <c r="M856">
        <v>3.2490068793268212</v>
      </c>
      <c r="N856">
        <v>0</v>
      </c>
    </row>
    <row r="857" spans="9:14" x14ac:dyDescent="0.3">
      <c r="I857">
        <v>854</v>
      </c>
      <c r="J857">
        <v>2.7314900669127198</v>
      </c>
      <c r="K857">
        <v>0</v>
      </c>
      <c r="L857">
        <v>0</v>
      </c>
      <c r="M857">
        <v>2.7314900669127198</v>
      </c>
      <c r="N857">
        <v>1</v>
      </c>
    </row>
    <row r="858" spans="9:14" x14ac:dyDescent="0.3">
      <c r="I858">
        <v>855</v>
      </c>
      <c r="J858">
        <v>3.603034505204382</v>
      </c>
      <c r="K858">
        <v>1</v>
      </c>
      <c r="L858">
        <v>1.6725336624181191</v>
      </c>
      <c r="M858">
        <v>5.2755681676225006</v>
      </c>
      <c r="N858">
        <v>0</v>
      </c>
    </row>
    <row r="859" spans="9:14" x14ac:dyDescent="0.3">
      <c r="I859">
        <v>856</v>
      </c>
      <c r="J859">
        <v>3.0382584684462421</v>
      </c>
      <c r="K859">
        <v>1</v>
      </c>
      <c r="L859">
        <v>1.235069138104758</v>
      </c>
      <c r="M859">
        <v>4.2733276065509997</v>
      </c>
      <c r="N859">
        <v>0</v>
      </c>
    </row>
    <row r="860" spans="9:14" x14ac:dyDescent="0.3">
      <c r="I860">
        <v>857</v>
      </c>
      <c r="J860">
        <v>3.0461811757013089</v>
      </c>
      <c r="K860">
        <v>1</v>
      </c>
      <c r="L860">
        <v>1.772943828551182</v>
      </c>
      <c r="M860">
        <v>4.8191250042524914</v>
      </c>
      <c r="N860">
        <v>0</v>
      </c>
    </row>
    <row r="861" spans="9:14" x14ac:dyDescent="0.3">
      <c r="I861">
        <v>858</v>
      </c>
      <c r="J861">
        <v>3.283258227640276</v>
      </c>
      <c r="K861">
        <v>0</v>
      </c>
      <c r="L861">
        <v>0</v>
      </c>
      <c r="M861">
        <v>3.283258227640276</v>
      </c>
      <c r="N861">
        <v>0</v>
      </c>
    </row>
    <row r="862" spans="9:14" x14ac:dyDescent="0.3">
      <c r="I862">
        <v>859</v>
      </c>
      <c r="J862">
        <v>2.0916068630241029</v>
      </c>
      <c r="K862">
        <v>1</v>
      </c>
      <c r="L862">
        <v>1.5883917650188091</v>
      </c>
      <c r="M862">
        <v>3.6799986280429118</v>
      </c>
      <c r="N862">
        <v>0</v>
      </c>
    </row>
    <row r="863" spans="9:14" x14ac:dyDescent="0.3">
      <c r="I863">
        <v>860</v>
      </c>
      <c r="J863">
        <v>3.2386217330978702</v>
      </c>
      <c r="K863">
        <v>0</v>
      </c>
      <c r="L863">
        <v>0</v>
      </c>
      <c r="M863">
        <v>3.2386217330978702</v>
      </c>
      <c r="N863">
        <v>0</v>
      </c>
    </row>
    <row r="864" spans="9:14" x14ac:dyDescent="0.3">
      <c r="I864">
        <v>861</v>
      </c>
      <c r="J864">
        <v>2.9143302832073932</v>
      </c>
      <c r="K864">
        <v>0</v>
      </c>
      <c r="L864">
        <v>0</v>
      </c>
      <c r="M864">
        <v>2.9143302832073932</v>
      </c>
      <c r="N864">
        <v>1</v>
      </c>
    </row>
    <row r="865" spans="9:14" x14ac:dyDescent="0.3">
      <c r="I865">
        <v>862</v>
      </c>
      <c r="J865">
        <v>2.5410047704949812</v>
      </c>
      <c r="K865">
        <v>1</v>
      </c>
      <c r="L865">
        <v>1.191335920293711</v>
      </c>
      <c r="M865">
        <v>3.7323406907886918</v>
      </c>
      <c r="N865">
        <v>0</v>
      </c>
    </row>
    <row r="866" spans="9:14" x14ac:dyDescent="0.3">
      <c r="I866">
        <v>863</v>
      </c>
      <c r="J866">
        <v>3.370676470488323</v>
      </c>
      <c r="K866">
        <v>1</v>
      </c>
      <c r="L866">
        <v>1.648993823503589</v>
      </c>
      <c r="M866">
        <v>5.0196702939919122</v>
      </c>
      <c r="N866">
        <v>0</v>
      </c>
    </row>
    <row r="867" spans="9:14" x14ac:dyDescent="0.3">
      <c r="I867">
        <v>864</v>
      </c>
      <c r="J867">
        <v>4.6805580384677246</v>
      </c>
      <c r="K867">
        <v>0</v>
      </c>
      <c r="L867">
        <v>0</v>
      </c>
      <c r="M867">
        <v>4.6805580384677246</v>
      </c>
      <c r="N867">
        <v>0</v>
      </c>
    </row>
    <row r="868" spans="9:14" x14ac:dyDescent="0.3">
      <c r="I868">
        <v>865</v>
      </c>
      <c r="J868">
        <v>2.5505293067215149</v>
      </c>
      <c r="K868">
        <v>0</v>
      </c>
      <c r="L868">
        <v>0</v>
      </c>
      <c r="M868">
        <v>2.5505293067215149</v>
      </c>
      <c r="N868">
        <v>1</v>
      </c>
    </row>
    <row r="869" spans="9:14" x14ac:dyDescent="0.3">
      <c r="I869">
        <v>866</v>
      </c>
      <c r="J869">
        <v>2.1398555216979842</v>
      </c>
      <c r="K869">
        <v>0</v>
      </c>
      <c r="L869">
        <v>0</v>
      </c>
      <c r="M869">
        <v>2.1398555216979842</v>
      </c>
      <c r="N869">
        <v>1</v>
      </c>
    </row>
    <row r="870" spans="9:14" x14ac:dyDescent="0.3">
      <c r="I870">
        <v>867</v>
      </c>
      <c r="J870">
        <v>3.413165694908546</v>
      </c>
      <c r="K870">
        <v>0</v>
      </c>
      <c r="L870">
        <v>0</v>
      </c>
      <c r="M870">
        <v>3.413165694908546</v>
      </c>
      <c r="N870">
        <v>0</v>
      </c>
    </row>
    <row r="871" spans="9:14" x14ac:dyDescent="0.3">
      <c r="I871">
        <v>868</v>
      </c>
      <c r="J871">
        <v>2.5294154138361629</v>
      </c>
      <c r="K871">
        <v>1</v>
      </c>
      <c r="L871">
        <v>1.867514734400096</v>
      </c>
      <c r="M871">
        <v>4.3969301482362599</v>
      </c>
      <c r="N871">
        <v>0</v>
      </c>
    </row>
    <row r="872" spans="9:14" x14ac:dyDescent="0.3">
      <c r="I872">
        <v>869</v>
      </c>
      <c r="J872">
        <v>3.189187912491906</v>
      </c>
      <c r="K872">
        <v>1</v>
      </c>
      <c r="L872">
        <v>1.3333740978211721</v>
      </c>
      <c r="M872">
        <v>4.5225620103130773</v>
      </c>
      <c r="N872">
        <v>0</v>
      </c>
    </row>
    <row r="873" spans="9:14" x14ac:dyDescent="0.3">
      <c r="I873">
        <v>870</v>
      </c>
      <c r="J873">
        <v>2.5089039306751828</v>
      </c>
      <c r="K873">
        <v>0</v>
      </c>
      <c r="L873">
        <v>0</v>
      </c>
      <c r="M873">
        <v>2.5089039306751828</v>
      </c>
      <c r="N873">
        <v>1</v>
      </c>
    </row>
    <row r="874" spans="9:14" x14ac:dyDescent="0.3">
      <c r="I874">
        <v>871</v>
      </c>
      <c r="J874">
        <v>3.784027581068194</v>
      </c>
      <c r="K874">
        <v>0</v>
      </c>
      <c r="L874">
        <v>0</v>
      </c>
      <c r="M874">
        <v>3.784027581068194</v>
      </c>
      <c r="N874">
        <v>0</v>
      </c>
    </row>
    <row r="875" spans="9:14" x14ac:dyDescent="0.3">
      <c r="I875">
        <v>872</v>
      </c>
      <c r="J875">
        <v>2.3292820350033878</v>
      </c>
      <c r="K875">
        <v>1</v>
      </c>
      <c r="L875">
        <v>1.156636639995515</v>
      </c>
      <c r="M875">
        <v>3.4859186749989028</v>
      </c>
      <c r="N875">
        <v>0</v>
      </c>
    </row>
    <row r="876" spans="9:14" x14ac:dyDescent="0.3">
      <c r="I876">
        <v>873</v>
      </c>
      <c r="J876">
        <v>2.403999069112742</v>
      </c>
      <c r="K876">
        <v>0</v>
      </c>
      <c r="L876">
        <v>0</v>
      </c>
      <c r="M876">
        <v>2.403999069112742</v>
      </c>
      <c r="N876">
        <v>1</v>
      </c>
    </row>
    <row r="877" spans="9:14" x14ac:dyDescent="0.3">
      <c r="I877">
        <v>874</v>
      </c>
      <c r="J877">
        <v>3.6264184886964559</v>
      </c>
      <c r="K877">
        <v>0</v>
      </c>
      <c r="L877">
        <v>0</v>
      </c>
      <c r="M877">
        <v>3.6264184886964559</v>
      </c>
      <c r="N877">
        <v>0</v>
      </c>
    </row>
    <row r="878" spans="9:14" x14ac:dyDescent="0.3">
      <c r="I878">
        <v>875</v>
      </c>
      <c r="J878">
        <v>2.588157478994078</v>
      </c>
      <c r="K878">
        <v>0</v>
      </c>
      <c r="L878">
        <v>0</v>
      </c>
      <c r="M878">
        <v>2.588157478994078</v>
      </c>
      <c r="N878">
        <v>1</v>
      </c>
    </row>
    <row r="879" spans="9:14" x14ac:dyDescent="0.3">
      <c r="I879">
        <v>876</v>
      </c>
      <c r="J879">
        <v>2.1732499483246781</v>
      </c>
      <c r="K879">
        <v>0</v>
      </c>
      <c r="L879">
        <v>0</v>
      </c>
      <c r="M879">
        <v>2.1732499483246781</v>
      </c>
      <c r="N879">
        <v>1</v>
      </c>
    </row>
    <row r="880" spans="9:14" x14ac:dyDescent="0.3">
      <c r="I880">
        <v>877</v>
      </c>
      <c r="J880">
        <v>3.8038751452938291</v>
      </c>
      <c r="K880">
        <v>0</v>
      </c>
      <c r="L880">
        <v>0</v>
      </c>
      <c r="M880">
        <v>3.8038751452938291</v>
      </c>
      <c r="N880">
        <v>0</v>
      </c>
    </row>
    <row r="881" spans="9:14" x14ac:dyDescent="0.3">
      <c r="I881">
        <v>878</v>
      </c>
      <c r="J881">
        <v>2.8950298905598268</v>
      </c>
      <c r="K881">
        <v>0</v>
      </c>
      <c r="L881">
        <v>0</v>
      </c>
      <c r="M881">
        <v>2.8950298905598268</v>
      </c>
      <c r="N881">
        <v>1</v>
      </c>
    </row>
    <row r="882" spans="9:14" x14ac:dyDescent="0.3">
      <c r="I882">
        <v>879</v>
      </c>
      <c r="J882">
        <v>3.4234545812565731</v>
      </c>
      <c r="K882">
        <v>0</v>
      </c>
      <c r="L882">
        <v>0</v>
      </c>
      <c r="M882">
        <v>3.4234545812565731</v>
      </c>
      <c r="N882">
        <v>0</v>
      </c>
    </row>
    <row r="883" spans="9:14" x14ac:dyDescent="0.3">
      <c r="I883">
        <v>880</v>
      </c>
      <c r="J883">
        <v>2.849305690461359</v>
      </c>
      <c r="K883">
        <v>0</v>
      </c>
      <c r="L883">
        <v>0</v>
      </c>
      <c r="M883">
        <v>2.849305690461359</v>
      </c>
      <c r="N883">
        <v>1</v>
      </c>
    </row>
    <row r="884" spans="9:14" x14ac:dyDescent="0.3">
      <c r="I884">
        <v>881</v>
      </c>
      <c r="J884">
        <v>3.791276621500093</v>
      </c>
      <c r="K884">
        <v>0</v>
      </c>
      <c r="L884">
        <v>0</v>
      </c>
      <c r="M884">
        <v>3.791276621500093</v>
      </c>
      <c r="N884">
        <v>0</v>
      </c>
    </row>
    <row r="885" spans="9:14" x14ac:dyDescent="0.3">
      <c r="I885">
        <v>882</v>
      </c>
      <c r="J885">
        <v>3.9523441041893781</v>
      </c>
      <c r="K885">
        <v>0</v>
      </c>
      <c r="L885">
        <v>0</v>
      </c>
      <c r="M885">
        <v>3.9523441041893781</v>
      </c>
      <c r="N885">
        <v>0</v>
      </c>
    </row>
    <row r="886" spans="9:14" x14ac:dyDescent="0.3">
      <c r="I886">
        <v>883</v>
      </c>
      <c r="J886">
        <v>2.4969130944576712</v>
      </c>
      <c r="K886">
        <v>0</v>
      </c>
      <c r="L886">
        <v>0</v>
      </c>
      <c r="M886">
        <v>2.4969130944576712</v>
      </c>
      <c r="N886">
        <v>1</v>
      </c>
    </row>
    <row r="887" spans="9:14" x14ac:dyDescent="0.3">
      <c r="I887">
        <v>884</v>
      </c>
      <c r="J887">
        <v>2.2719907742447858</v>
      </c>
      <c r="K887">
        <v>0</v>
      </c>
      <c r="L887">
        <v>0</v>
      </c>
      <c r="M887">
        <v>2.2719907742447858</v>
      </c>
      <c r="N887">
        <v>1</v>
      </c>
    </row>
    <row r="888" spans="9:14" x14ac:dyDescent="0.3">
      <c r="I888">
        <v>885</v>
      </c>
      <c r="J888">
        <v>3.2939993362957729</v>
      </c>
      <c r="K888">
        <v>0</v>
      </c>
      <c r="L888">
        <v>0</v>
      </c>
      <c r="M888">
        <v>3.2939993362957729</v>
      </c>
      <c r="N888">
        <v>0</v>
      </c>
    </row>
    <row r="889" spans="9:14" x14ac:dyDescent="0.3">
      <c r="I889">
        <v>886</v>
      </c>
      <c r="J889">
        <v>3.1569731341888692</v>
      </c>
      <c r="K889">
        <v>0</v>
      </c>
      <c r="L889">
        <v>0</v>
      </c>
      <c r="M889">
        <v>3.1569731341888692</v>
      </c>
      <c r="N889">
        <v>0</v>
      </c>
    </row>
    <row r="890" spans="9:14" x14ac:dyDescent="0.3">
      <c r="I890">
        <v>887</v>
      </c>
      <c r="J890">
        <v>3.0584931574712071</v>
      </c>
      <c r="K890">
        <v>0</v>
      </c>
      <c r="L890">
        <v>0</v>
      </c>
      <c r="M890">
        <v>3.0584931574712071</v>
      </c>
      <c r="N890">
        <v>0</v>
      </c>
    </row>
    <row r="891" spans="9:14" x14ac:dyDescent="0.3">
      <c r="I891">
        <v>888</v>
      </c>
      <c r="J891">
        <v>3.2556601526761639</v>
      </c>
      <c r="K891">
        <v>0</v>
      </c>
      <c r="L891">
        <v>0</v>
      </c>
      <c r="M891">
        <v>3.2556601526761639</v>
      </c>
      <c r="N891">
        <v>0</v>
      </c>
    </row>
    <row r="892" spans="9:14" x14ac:dyDescent="0.3">
      <c r="I892">
        <v>889</v>
      </c>
      <c r="J892">
        <v>2.8365493317227051</v>
      </c>
      <c r="K892">
        <v>0</v>
      </c>
      <c r="L892">
        <v>0</v>
      </c>
      <c r="M892">
        <v>2.8365493317227051</v>
      </c>
      <c r="N892">
        <v>1</v>
      </c>
    </row>
    <row r="893" spans="9:14" x14ac:dyDescent="0.3">
      <c r="I893">
        <v>890</v>
      </c>
      <c r="J893">
        <v>4.0464251480231148</v>
      </c>
      <c r="K893">
        <v>1</v>
      </c>
      <c r="L893">
        <v>1.1994609799362661</v>
      </c>
      <c r="M893">
        <v>5.2458861279593796</v>
      </c>
      <c r="N893">
        <v>0</v>
      </c>
    </row>
    <row r="894" spans="9:14" x14ac:dyDescent="0.3">
      <c r="I894">
        <v>891</v>
      </c>
      <c r="J894">
        <v>3.1633478707048628</v>
      </c>
      <c r="K894">
        <v>0</v>
      </c>
      <c r="L894">
        <v>0</v>
      </c>
      <c r="M894">
        <v>3.1633478707048628</v>
      </c>
      <c r="N894">
        <v>0</v>
      </c>
    </row>
    <row r="895" spans="9:14" x14ac:dyDescent="0.3">
      <c r="I895">
        <v>892</v>
      </c>
      <c r="J895">
        <v>3.3218385279614759</v>
      </c>
      <c r="K895">
        <v>1</v>
      </c>
      <c r="L895">
        <v>1.362941015840218</v>
      </c>
      <c r="M895">
        <v>4.6847795438016941</v>
      </c>
      <c r="N895">
        <v>0</v>
      </c>
    </row>
    <row r="896" spans="9:14" x14ac:dyDescent="0.3">
      <c r="I896">
        <v>893</v>
      </c>
      <c r="J896">
        <v>3.3842139951533592</v>
      </c>
      <c r="K896">
        <v>1</v>
      </c>
      <c r="L896">
        <v>1.9867287677811349</v>
      </c>
      <c r="M896">
        <v>5.3709427629344937</v>
      </c>
      <c r="N896">
        <v>0</v>
      </c>
    </row>
    <row r="897" spans="9:14" x14ac:dyDescent="0.3">
      <c r="I897">
        <v>894</v>
      </c>
      <c r="J897">
        <v>3.1894188969884172</v>
      </c>
      <c r="K897">
        <v>1</v>
      </c>
      <c r="L897">
        <v>1.848372273975774</v>
      </c>
      <c r="M897">
        <v>5.0377911709641907</v>
      </c>
      <c r="N897">
        <v>0</v>
      </c>
    </row>
    <row r="898" spans="9:14" x14ac:dyDescent="0.3">
      <c r="I898">
        <v>895</v>
      </c>
      <c r="J898">
        <v>2.9465998170613328</v>
      </c>
      <c r="K898">
        <v>0</v>
      </c>
      <c r="L898">
        <v>0</v>
      </c>
      <c r="M898">
        <v>2.9465998170613328</v>
      </c>
      <c r="N898">
        <v>1</v>
      </c>
    </row>
    <row r="899" spans="9:14" x14ac:dyDescent="0.3">
      <c r="I899">
        <v>896</v>
      </c>
      <c r="J899">
        <v>2.4613614264214561</v>
      </c>
      <c r="K899">
        <v>0</v>
      </c>
      <c r="L899">
        <v>0</v>
      </c>
      <c r="M899">
        <v>2.4613614264214561</v>
      </c>
      <c r="N899">
        <v>1</v>
      </c>
    </row>
    <row r="900" spans="9:14" x14ac:dyDescent="0.3">
      <c r="I900">
        <v>897</v>
      </c>
      <c r="J900">
        <v>3.4255496472816782</v>
      </c>
      <c r="K900">
        <v>0</v>
      </c>
      <c r="L900">
        <v>0</v>
      </c>
      <c r="M900">
        <v>3.4255496472816782</v>
      </c>
      <c r="N900">
        <v>0</v>
      </c>
    </row>
    <row r="901" spans="9:14" x14ac:dyDescent="0.3">
      <c r="I901">
        <v>898</v>
      </c>
      <c r="J901">
        <v>3.823972179834739</v>
      </c>
      <c r="K901">
        <v>0</v>
      </c>
      <c r="L901">
        <v>0</v>
      </c>
      <c r="M901">
        <v>3.823972179834739</v>
      </c>
      <c r="N901">
        <v>0</v>
      </c>
    </row>
    <row r="902" spans="9:14" x14ac:dyDescent="0.3">
      <c r="I902">
        <v>899</v>
      </c>
      <c r="J902">
        <v>3.3401735552063569</v>
      </c>
      <c r="K902">
        <v>0</v>
      </c>
      <c r="L902">
        <v>0</v>
      </c>
      <c r="M902">
        <v>3.3401735552063569</v>
      </c>
      <c r="N902">
        <v>0</v>
      </c>
    </row>
    <row r="903" spans="9:14" x14ac:dyDescent="0.3">
      <c r="I903">
        <v>900</v>
      </c>
      <c r="J903">
        <v>2.7541983607735809</v>
      </c>
      <c r="K903">
        <v>1</v>
      </c>
      <c r="L903">
        <v>1.36395564052518</v>
      </c>
      <c r="M903">
        <v>4.1181540012987607</v>
      </c>
      <c r="N903">
        <v>0</v>
      </c>
    </row>
    <row r="904" spans="9:14" x14ac:dyDescent="0.3">
      <c r="I904">
        <v>901</v>
      </c>
      <c r="J904">
        <v>2.6844371615673568</v>
      </c>
      <c r="K904">
        <v>0</v>
      </c>
      <c r="L904">
        <v>0</v>
      </c>
      <c r="M904">
        <v>2.6844371615673568</v>
      </c>
      <c r="N904">
        <v>1</v>
      </c>
    </row>
    <row r="905" spans="9:14" x14ac:dyDescent="0.3">
      <c r="I905">
        <v>902</v>
      </c>
      <c r="J905">
        <v>3.2292509032628831</v>
      </c>
      <c r="K905">
        <v>1</v>
      </c>
      <c r="L905">
        <v>1.9051517499044079</v>
      </c>
      <c r="M905">
        <v>5.1344026531672906</v>
      </c>
      <c r="N905">
        <v>0</v>
      </c>
    </row>
    <row r="906" spans="9:14" x14ac:dyDescent="0.3">
      <c r="I906">
        <v>903</v>
      </c>
      <c r="J906">
        <v>2.7767336177976372</v>
      </c>
      <c r="K906">
        <v>0</v>
      </c>
      <c r="L906">
        <v>0</v>
      </c>
      <c r="M906">
        <v>2.7767336177976372</v>
      </c>
      <c r="N906">
        <v>1</v>
      </c>
    </row>
    <row r="907" spans="9:14" x14ac:dyDescent="0.3">
      <c r="I907">
        <v>904</v>
      </c>
      <c r="J907">
        <v>3.7287511074531379</v>
      </c>
      <c r="K907">
        <v>1</v>
      </c>
      <c r="L907">
        <v>1.343285648866122</v>
      </c>
      <c r="M907">
        <v>5.0720367563192603</v>
      </c>
      <c r="N907">
        <v>0</v>
      </c>
    </row>
    <row r="908" spans="9:14" x14ac:dyDescent="0.3">
      <c r="I908">
        <v>905</v>
      </c>
      <c r="J908">
        <v>3.12451046777297</v>
      </c>
      <c r="K908">
        <v>0</v>
      </c>
      <c r="L908">
        <v>0</v>
      </c>
      <c r="M908">
        <v>3.12451046777297</v>
      </c>
      <c r="N908">
        <v>0</v>
      </c>
    </row>
    <row r="909" spans="9:14" x14ac:dyDescent="0.3">
      <c r="I909">
        <v>906</v>
      </c>
      <c r="J909">
        <v>2.306998434712098</v>
      </c>
      <c r="K909">
        <v>0</v>
      </c>
      <c r="L909">
        <v>0</v>
      </c>
      <c r="M909">
        <v>2.306998434712098</v>
      </c>
      <c r="N909">
        <v>1</v>
      </c>
    </row>
    <row r="910" spans="9:14" x14ac:dyDescent="0.3">
      <c r="I910">
        <v>907</v>
      </c>
      <c r="J910">
        <v>4.0030416157718012</v>
      </c>
      <c r="K910">
        <v>1</v>
      </c>
      <c r="L910">
        <v>1.0756035460134701</v>
      </c>
      <c r="M910">
        <v>5.0786451617852713</v>
      </c>
      <c r="N910">
        <v>0</v>
      </c>
    </row>
    <row r="911" spans="9:14" x14ac:dyDescent="0.3">
      <c r="I911">
        <v>908</v>
      </c>
      <c r="J911">
        <v>3.6896462168486761</v>
      </c>
      <c r="K911">
        <v>0</v>
      </c>
      <c r="L911">
        <v>0</v>
      </c>
      <c r="M911">
        <v>3.6896462168486761</v>
      </c>
      <c r="N911">
        <v>0</v>
      </c>
    </row>
    <row r="912" spans="9:14" x14ac:dyDescent="0.3">
      <c r="I912">
        <v>909</v>
      </c>
      <c r="J912">
        <v>2.0728586975736421</v>
      </c>
      <c r="K912">
        <v>0</v>
      </c>
      <c r="L912">
        <v>0</v>
      </c>
      <c r="M912">
        <v>2.0728586975736421</v>
      </c>
      <c r="N912">
        <v>1</v>
      </c>
    </row>
    <row r="913" spans="9:14" x14ac:dyDescent="0.3">
      <c r="I913">
        <v>910</v>
      </c>
      <c r="J913">
        <v>3.0201655240559111</v>
      </c>
      <c r="K913">
        <v>0</v>
      </c>
      <c r="L913">
        <v>0</v>
      </c>
      <c r="M913">
        <v>3.0201655240559111</v>
      </c>
      <c r="N913">
        <v>0</v>
      </c>
    </row>
    <row r="914" spans="9:14" x14ac:dyDescent="0.3">
      <c r="I914">
        <v>911</v>
      </c>
      <c r="J914">
        <v>2.3182051795617151</v>
      </c>
      <c r="K914">
        <v>0</v>
      </c>
      <c r="L914">
        <v>0</v>
      </c>
      <c r="M914">
        <v>2.3182051795617151</v>
      </c>
      <c r="N914">
        <v>1</v>
      </c>
    </row>
    <row r="915" spans="9:14" x14ac:dyDescent="0.3">
      <c r="I915">
        <v>912</v>
      </c>
      <c r="J915">
        <v>2.5489989411348022</v>
      </c>
      <c r="K915">
        <v>0</v>
      </c>
      <c r="L915">
        <v>0</v>
      </c>
      <c r="M915">
        <v>2.5489989411348022</v>
      </c>
      <c r="N915">
        <v>1</v>
      </c>
    </row>
    <row r="916" spans="9:14" x14ac:dyDescent="0.3">
      <c r="I916">
        <v>913</v>
      </c>
      <c r="J916">
        <v>3.0781579515006432</v>
      </c>
      <c r="K916">
        <v>0</v>
      </c>
      <c r="L916">
        <v>0</v>
      </c>
      <c r="M916">
        <v>3.0781579515006432</v>
      </c>
      <c r="N916">
        <v>0</v>
      </c>
    </row>
    <row r="917" spans="9:14" x14ac:dyDescent="0.3">
      <c r="I917">
        <v>914</v>
      </c>
      <c r="J917">
        <v>2.564224471275768</v>
      </c>
      <c r="K917">
        <v>0</v>
      </c>
      <c r="L917">
        <v>0</v>
      </c>
      <c r="M917">
        <v>2.564224471275768</v>
      </c>
      <c r="N917">
        <v>1</v>
      </c>
    </row>
    <row r="918" spans="9:14" x14ac:dyDescent="0.3">
      <c r="I918">
        <v>915</v>
      </c>
      <c r="J918">
        <v>4.0177738703712649</v>
      </c>
      <c r="K918">
        <v>1</v>
      </c>
      <c r="L918">
        <v>1.661208950806889</v>
      </c>
      <c r="M918">
        <v>5.6789828211781526</v>
      </c>
      <c r="N918">
        <v>0</v>
      </c>
    </row>
    <row r="919" spans="9:14" x14ac:dyDescent="0.3">
      <c r="I919">
        <v>916</v>
      </c>
      <c r="J919">
        <v>2.457116161797305</v>
      </c>
      <c r="K919">
        <v>0</v>
      </c>
      <c r="L919">
        <v>0</v>
      </c>
      <c r="M919">
        <v>2.457116161797305</v>
      </c>
      <c r="N919">
        <v>1</v>
      </c>
    </row>
    <row r="920" spans="9:14" x14ac:dyDescent="0.3">
      <c r="I920">
        <v>917</v>
      </c>
      <c r="J920">
        <v>2.7855124643006031</v>
      </c>
      <c r="K920">
        <v>0</v>
      </c>
      <c r="L920">
        <v>0</v>
      </c>
      <c r="M920">
        <v>2.7855124643006031</v>
      </c>
      <c r="N920">
        <v>1</v>
      </c>
    </row>
    <row r="921" spans="9:14" x14ac:dyDescent="0.3">
      <c r="I921">
        <v>918</v>
      </c>
      <c r="J921">
        <v>4.2606559128369099</v>
      </c>
      <c r="K921">
        <v>1</v>
      </c>
      <c r="L921">
        <v>1.9861973572391349</v>
      </c>
      <c r="M921">
        <v>6.2468532700760449</v>
      </c>
      <c r="N921">
        <v>0</v>
      </c>
    </row>
    <row r="922" spans="9:14" x14ac:dyDescent="0.3">
      <c r="I922">
        <v>919</v>
      </c>
      <c r="J922">
        <v>3.8370914281706878</v>
      </c>
      <c r="K922">
        <v>0</v>
      </c>
      <c r="L922">
        <v>0</v>
      </c>
      <c r="M922">
        <v>3.8370914281706878</v>
      </c>
      <c r="N922">
        <v>0</v>
      </c>
    </row>
    <row r="923" spans="9:14" x14ac:dyDescent="0.3">
      <c r="I923">
        <v>920</v>
      </c>
      <c r="J923">
        <v>3.1569994211363759</v>
      </c>
      <c r="K923">
        <v>0</v>
      </c>
      <c r="L923">
        <v>0</v>
      </c>
      <c r="M923">
        <v>3.1569994211363759</v>
      </c>
      <c r="N923">
        <v>0</v>
      </c>
    </row>
    <row r="924" spans="9:14" x14ac:dyDescent="0.3">
      <c r="I924">
        <v>921</v>
      </c>
      <c r="J924">
        <v>3.4957080897791002</v>
      </c>
      <c r="K924">
        <v>0</v>
      </c>
      <c r="L924">
        <v>0</v>
      </c>
      <c r="M924">
        <v>3.4957080897791002</v>
      </c>
      <c r="N924">
        <v>0</v>
      </c>
    </row>
    <row r="925" spans="9:14" x14ac:dyDescent="0.3">
      <c r="I925">
        <v>922</v>
      </c>
      <c r="J925">
        <v>2.9454264100682752</v>
      </c>
      <c r="K925">
        <v>0</v>
      </c>
      <c r="L925">
        <v>0</v>
      </c>
      <c r="M925">
        <v>2.9454264100682752</v>
      </c>
      <c r="N925">
        <v>1</v>
      </c>
    </row>
    <row r="926" spans="9:14" x14ac:dyDescent="0.3">
      <c r="I926">
        <v>923</v>
      </c>
      <c r="J926">
        <v>2.9344297878779821</v>
      </c>
      <c r="K926">
        <v>0</v>
      </c>
      <c r="L926">
        <v>0</v>
      </c>
      <c r="M926">
        <v>2.9344297878779821</v>
      </c>
      <c r="N926">
        <v>1</v>
      </c>
    </row>
    <row r="927" spans="9:14" x14ac:dyDescent="0.3">
      <c r="I927">
        <v>924</v>
      </c>
      <c r="J927">
        <v>3.33724408791953</v>
      </c>
      <c r="K927">
        <v>0</v>
      </c>
      <c r="L927">
        <v>0</v>
      </c>
      <c r="M927">
        <v>3.33724408791953</v>
      </c>
      <c r="N927">
        <v>0</v>
      </c>
    </row>
    <row r="928" spans="9:14" x14ac:dyDescent="0.3">
      <c r="I928">
        <v>925</v>
      </c>
      <c r="J928">
        <v>2.4294388861256762</v>
      </c>
      <c r="K928">
        <v>0</v>
      </c>
      <c r="L928">
        <v>0</v>
      </c>
      <c r="M928">
        <v>2.4294388861256762</v>
      </c>
      <c r="N928">
        <v>1</v>
      </c>
    </row>
    <row r="929" spans="9:14" x14ac:dyDescent="0.3">
      <c r="I929">
        <v>926</v>
      </c>
      <c r="J929">
        <v>2.8606355114643658</v>
      </c>
      <c r="K929">
        <v>1</v>
      </c>
      <c r="L929">
        <v>1.9705120212553391</v>
      </c>
      <c r="M929">
        <v>4.8311475327197044</v>
      </c>
      <c r="N929">
        <v>0</v>
      </c>
    </row>
    <row r="930" spans="9:14" x14ac:dyDescent="0.3">
      <c r="I930">
        <v>927</v>
      </c>
      <c r="J930">
        <v>2.883531616920882</v>
      </c>
      <c r="K930">
        <v>1</v>
      </c>
      <c r="L930">
        <v>1.0689243560502479</v>
      </c>
      <c r="M930">
        <v>3.9524559729711308</v>
      </c>
      <c r="N930">
        <v>0</v>
      </c>
    </row>
    <row r="931" spans="9:14" x14ac:dyDescent="0.3">
      <c r="I931">
        <v>928</v>
      </c>
      <c r="J931">
        <v>2.8567948036275959</v>
      </c>
      <c r="K931">
        <v>0</v>
      </c>
      <c r="L931">
        <v>0</v>
      </c>
      <c r="M931">
        <v>2.8567948036275959</v>
      </c>
      <c r="N931">
        <v>1</v>
      </c>
    </row>
    <row r="932" spans="9:14" x14ac:dyDescent="0.3">
      <c r="I932">
        <v>929</v>
      </c>
      <c r="J932">
        <v>4.1815275699769368</v>
      </c>
      <c r="K932">
        <v>0</v>
      </c>
      <c r="L932">
        <v>0</v>
      </c>
      <c r="M932">
        <v>4.1815275699769368</v>
      </c>
      <c r="N932">
        <v>0</v>
      </c>
    </row>
    <row r="933" spans="9:14" x14ac:dyDescent="0.3">
      <c r="I933">
        <v>930</v>
      </c>
      <c r="J933">
        <v>2.616581648398713</v>
      </c>
      <c r="K933">
        <v>0</v>
      </c>
      <c r="L933">
        <v>0</v>
      </c>
      <c r="M933">
        <v>2.616581648398713</v>
      </c>
      <c r="N933">
        <v>1</v>
      </c>
    </row>
    <row r="934" spans="9:14" x14ac:dyDescent="0.3">
      <c r="I934">
        <v>931</v>
      </c>
      <c r="J934">
        <v>4.2107963326218041</v>
      </c>
      <c r="K934">
        <v>0</v>
      </c>
      <c r="L934">
        <v>0</v>
      </c>
      <c r="M934">
        <v>4.2107963326218041</v>
      </c>
      <c r="N934">
        <v>0</v>
      </c>
    </row>
    <row r="935" spans="9:14" x14ac:dyDescent="0.3">
      <c r="I935">
        <v>932</v>
      </c>
      <c r="J935">
        <v>2.4208133095212272</v>
      </c>
      <c r="K935">
        <v>1</v>
      </c>
      <c r="L935">
        <v>1.684745561695715</v>
      </c>
      <c r="M935">
        <v>4.1055588712169424</v>
      </c>
      <c r="N935">
        <v>0</v>
      </c>
    </row>
    <row r="936" spans="9:14" x14ac:dyDescent="0.3">
      <c r="I936">
        <v>933</v>
      </c>
      <c r="J936">
        <v>4.1643506561616386</v>
      </c>
      <c r="K936">
        <v>0</v>
      </c>
      <c r="L936">
        <v>0</v>
      </c>
      <c r="M936">
        <v>4.1643506561616386</v>
      </c>
      <c r="N936">
        <v>0</v>
      </c>
    </row>
    <row r="937" spans="9:14" x14ac:dyDescent="0.3">
      <c r="I937">
        <v>934</v>
      </c>
      <c r="J937">
        <v>4.6559808242982381</v>
      </c>
      <c r="K937">
        <v>1</v>
      </c>
      <c r="L937">
        <v>1.469165694754297</v>
      </c>
      <c r="M937">
        <v>6.1251465190525352</v>
      </c>
      <c r="N937">
        <v>0</v>
      </c>
    </row>
    <row r="938" spans="9:14" x14ac:dyDescent="0.3">
      <c r="I938">
        <v>935</v>
      </c>
      <c r="J938">
        <v>2.9947014747534051</v>
      </c>
      <c r="K938">
        <v>0</v>
      </c>
      <c r="L938">
        <v>0</v>
      </c>
      <c r="M938">
        <v>2.9947014747534051</v>
      </c>
      <c r="N938">
        <v>1</v>
      </c>
    </row>
    <row r="939" spans="9:14" x14ac:dyDescent="0.3">
      <c r="I939">
        <v>936</v>
      </c>
      <c r="J939">
        <v>2.4434068183207192</v>
      </c>
      <c r="K939">
        <v>0</v>
      </c>
      <c r="L939">
        <v>0</v>
      </c>
      <c r="M939">
        <v>2.4434068183207192</v>
      </c>
      <c r="N939">
        <v>1</v>
      </c>
    </row>
    <row r="940" spans="9:14" x14ac:dyDescent="0.3">
      <c r="I940">
        <v>937</v>
      </c>
      <c r="J940">
        <v>4.2762957514729916</v>
      </c>
      <c r="K940">
        <v>1</v>
      </c>
      <c r="L940">
        <v>1.19635008800305</v>
      </c>
      <c r="M940">
        <v>5.4726458394760424</v>
      </c>
      <c r="N940">
        <v>0</v>
      </c>
    </row>
    <row r="941" spans="9:14" x14ac:dyDescent="0.3">
      <c r="I941">
        <v>938</v>
      </c>
      <c r="J941">
        <v>4.0350268285954636</v>
      </c>
      <c r="K941">
        <v>0</v>
      </c>
      <c r="L941">
        <v>0</v>
      </c>
      <c r="M941">
        <v>4.0350268285954636</v>
      </c>
      <c r="N941">
        <v>0</v>
      </c>
    </row>
    <row r="942" spans="9:14" x14ac:dyDescent="0.3">
      <c r="I942">
        <v>939</v>
      </c>
      <c r="J942">
        <v>2.5137684637297348</v>
      </c>
      <c r="K942">
        <v>1</v>
      </c>
      <c r="L942">
        <v>1.0336734989930381</v>
      </c>
      <c r="M942">
        <v>3.5474419627227731</v>
      </c>
      <c r="N942">
        <v>0</v>
      </c>
    </row>
    <row r="943" spans="9:14" x14ac:dyDescent="0.3">
      <c r="I943">
        <v>940</v>
      </c>
      <c r="J943">
        <v>3.211312542510377</v>
      </c>
      <c r="K943">
        <v>0</v>
      </c>
      <c r="L943">
        <v>0</v>
      </c>
      <c r="M943">
        <v>3.211312542510377</v>
      </c>
      <c r="N943">
        <v>0</v>
      </c>
    </row>
    <row r="944" spans="9:14" x14ac:dyDescent="0.3">
      <c r="I944">
        <v>941</v>
      </c>
      <c r="J944">
        <v>2.7578309432819821</v>
      </c>
      <c r="K944">
        <v>0</v>
      </c>
      <c r="L944">
        <v>0</v>
      </c>
      <c r="M944">
        <v>2.7578309432819821</v>
      </c>
      <c r="N944">
        <v>1</v>
      </c>
    </row>
    <row r="945" spans="9:14" x14ac:dyDescent="0.3">
      <c r="I945">
        <v>942</v>
      </c>
      <c r="J945">
        <v>3.1448569360006728</v>
      </c>
      <c r="K945">
        <v>0</v>
      </c>
      <c r="L945">
        <v>0</v>
      </c>
      <c r="M945">
        <v>3.1448569360006728</v>
      </c>
      <c r="N945">
        <v>0</v>
      </c>
    </row>
    <row r="946" spans="9:14" x14ac:dyDescent="0.3">
      <c r="I946">
        <v>943</v>
      </c>
      <c r="J946">
        <v>4.1423180089964626</v>
      </c>
      <c r="K946">
        <v>0</v>
      </c>
      <c r="L946">
        <v>0</v>
      </c>
      <c r="M946">
        <v>4.1423180089964626</v>
      </c>
      <c r="N946">
        <v>0</v>
      </c>
    </row>
    <row r="947" spans="9:14" x14ac:dyDescent="0.3">
      <c r="I947">
        <v>944</v>
      </c>
      <c r="J947">
        <v>3.6966950570489749</v>
      </c>
      <c r="K947">
        <v>1</v>
      </c>
      <c r="L947">
        <v>1.5693427078217359</v>
      </c>
      <c r="M947">
        <v>5.2660377648707124</v>
      </c>
      <c r="N947">
        <v>0</v>
      </c>
    </row>
    <row r="948" spans="9:14" x14ac:dyDescent="0.3">
      <c r="I948">
        <v>945</v>
      </c>
      <c r="J948">
        <v>3.6993568737920608</v>
      </c>
      <c r="K948">
        <v>0</v>
      </c>
      <c r="L948">
        <v>0</v>
      </c>
      <c r="M948">
        <v>3.6993568737920608</v>
      </c>
      <c r="N948">
        <v>0</v>
      </c>
    </row>
    <row r="949" spans="9:14" x14ac:dyDescent="0.3">
      <c r="I949">
        <v>946</v>
      </c>
      <c r="J949">
        <v>2.3009132131053631</v>
      </c>
      <c r="K949">
        <v>1</v>
      </c>
      <c r="L949">
        <v>1.2337257282774201</v>
      </c>
      <c r="M949">
        <v>3.534638941382783</v>
      </c>
      <c r="N949">
        <v>0</v>
      </c>
    </row>
    <row r="950" spans="9:14" x14ac:dyDescent="0.3">
      <c r="I950">
        <v>947</v>
      </c>
      <c r="J950">
        <v>2.9939947469889581</v>
      </c>
      <c r="K950">
        <v>0</v>
      </c>
      <c r="L950">
        <v>0</v>
      </c>
      <c r="M950">
        <v>2.9939947469889581</v>
      </c>
      <c r="N950">
        <v>1</v>
      </c>
    </row>
    <row r="951" spans="9:14" x14ac:dyDescent="0.3">
      <c r="I951">
        <v>948</v>
      </c>
      <c r="J951">
        <v>3.5635471408675752</v>
      </c>
      <c r="K951">
        <v>0</v>
      </c>
      <c r="L951">
        <v>0</v>
      </c>
      <c r="M951">
        <v>3.5635471408675752</v>
      </c>
      <c r="N951">
        <v>0</v>
      </c>
    </row>
    <row r="952" spans="9:14" x14ac:dyDescent="0.3">
      <c r="I952">
        <v>949</v>
      </c>
      <c r="J952">
        <v>3.1469021007488629</v>
      </c>
      <c r="K952">
        <v>1</v>
      </c>
      <c r="L952">
        <v>1.617738324095034</v>
      </c>
      <c r="M952">
        <v>4.7646404248438969</v>
      </c>
      <c r="N952">
        <v>0</v>
      </c>
    </row>
    <row r="953" spans="9:14" x14ac:dyDescent="0.3">
      <c r="I953">
        <v>950</v>
      </c>
      <c r="J953">
        <v>2.651263921625985</v>
      </c>
      <c r="K953">
        <v>0</v>
      </c>
      <c r="L953">
        <v>0</v>
      </c>
      <c r="M953">
        <v>2.651263921625985</v>
      </c>
      <c r="N953">
        <v>1</v>
      </c>
    </row>
    <row r="954" spans="9:14" x14ac:dyDescent="0.3">
      <c r="I954">
        <v>951</v>
      </c>
      <c r="J954">
        <v>3.9070341383658191</v>
      </c>
      <c r="K954">
        <v>1</v>
      </c>
      <c r="L954">
        <v>1.4937700076302509</v>
      </c>
      <c r="M954">
        <v>5.4008041459960694</v>
      </c>
      <c r="N954">
        <v>0</v>
      </c>
    </row>
    <row r="955" spans="9:14" x14ac:dyDescent="0.3">
      <c r="I955">
        <v>952</v>
      </c>
      <c r="J955">
        <v>2.458280902636691</v>
      </c>
      <c r="K955">
        <v>1</v>
      </c>
      <c r="L955">
        <v>1.781131250967388</v>
      </c>
      <c r="M955">
        <v>4.2394121536040794</v>
      </c>
      <c r="N955">
        <v>0</v>
      </c>
    </row>
    <row r="956" spans="9:14" x14ac:dyDescent="0.3">
      <c r="I956">
        <v>953</v>
      </c>
      <c r="J956">
        <v>2.9740041699772908</v>
      </c>
      <c r="K956">
        <v>0</v>
      </c>
      <c r="L956">
        <v>0</v>
      </c>
      <c r="M956">
        <v>2.9740041699772908</v>
      </c>
      <c r="N956">
        <v>1</v>
      </c>
    </row>
    <row r="957" spans="9:14" x14ac:dyDescent="0.3">
      <c r="I957">
        <v>954</v>
      </c>
      <c r="J957">
        <v>3.3137006609642601</v>
      </c>
      <c r="K957">
        <v>0</v>
      </c>
      <c r="L957">
        <v>0</v>
      </c>
      <c r="M957">
        <v>3.3137006609642601</v>
      </c>
      <c r="N957">
        <v>0</v>
      </c>
    </row>
    <row r="958" spans="9:14" x14ac:dyDescent="0.3">
      <c r="I958">
        <v>955</v>
      </c>
      <c r="J958">
        <v>3.029379309559578</v>
      </c>
      <c r="K958">
        <v>0</v>
      </c>
      <c r="L958">
        <v>0</v>
      </c>
      <c r="M958">
        <v>3.029379309559578</v>
      </c>
      <c r="N958">
        <v>0</v>
      </c>
    </row>
    <row r="959" spans="9:14" x14ac:dyDescent="0.3">
      <c r="I959">
        <v>956</v>
      </c>
      <c r="J959">
        <v>2.5382412388953099</v>
      </c>
      <c r="K959">
        <v>1</v>
      </c>
      <c r="L959">
        <v>1.1234404115609731</v>
      </c>
      <c r="M959">
        <v>3.6616816504562828</v>
      </c>
      <c r="N959">
        <v>0</v>
      </c>
    </row>
    <row r="960" spans="9:14" x14ac:dyDescent="0.3">
      <c r="I960">
        <v>957</v>
      </c>
      <c r="J960">
        <v>3.269851424190803</v>
      </c>
      <c r="K960">
        <v>0</v>
      </c>
      <c r="L960">
        <v>0</v>
      </c>
      <c r="M960">
        <v>3.269851424190803</v>
      </c>
      <c r="N960">
        <v>0</v>
      </c>
    </row>
    <row r="961" spans="9:14" x14ac:dyDescent="0.3">
      <c r="I961">
        <v>958</v>
      </c>
      <c r="J961">
        <v>3.0392701002540812</v>
      </c>
      <c r="K961">
        <v>0</v>
      </c>
      <c r="L961">
        <v>0</v>
      </c>
      <c r="M961">
        <v>3.0392701002540812</v>
      </c>
      <c r="N961">
        <v>0</v>
      </c>
    </row>
    <row r="962" spans="9:14" x14ac:dyDescent="0.3">
      <c r="I962">
        <v>959</v>
      </c>
      <c r="J962">
        <v>2.90624698627032</v>
      </c>
      <c r="K962">
        <v>0</v>
      </c>
      <c r="L962">
        <v>0</v>
      </c>
      <c r="M962">
        <v>2.90624698627032</v>
      </c>
      <c r="N962">
        <v>1</v>
      </c>
    </row>
    <row r="963" spans="9:14" x14ac:dyDescent="0.3">
      <c r="I963">
        <v>960</v>
      </c>
      <c r="J963">
        <v>2.6057946192983699</v>
      </c>
      <c r="K963">
        <v>0</v>
      </c>
      <c r="L963">
        <v>0</v>
      </c>
      <c r="M963">
        <v>2.6057946192983699</v>
      </c>
      <c r="N963">
        <v>1</v>
      </c>
    </row>
    <row r="964" spans="9:14" x14ac:dyDescent="0.3">
      <c r="I964">
        <v>961</v>
      </c>
      <c r="J964">
        <v>3.4399524067994069</v>
      </c>
      <c r="K964">
        <v>0</v>
      </c>
      <c r="L964">
        <v>0</v>
      </c>
      <c r="M964">
        <v>3.4399524067994069</v>
      </c>
      <c r="N964">
        <v>0</v>
      </c>
    </row>
    <row r="965" spans="9:14" x14ac:dyDescent="0.3">
      <c r="I965">
        <v>962</v>
      </c>
      <c r="J965">
        <v>3.5554902387421792</v>
      </c>
      <c r="K965">
        <v>1</v>
      </c>
      <c r="L965">
        <v>1.633369657734751</v>
      </c>
      <c r="M965">
        <v>5.1888598964769299</v>
      </c>
      <c r="N965">
        <v>0</v>
      </c>
    </row>
    <row r="966" spans="9:14" x14ac:dyDescent="0.3">
      <c r="I966">
        <v>963</v>
      </c>
      <c r="J966">
        <v>3.074733248985392</v>
      </c>
      <c r="K966">
        <v>0</v>
      </c>
      <c r="L966">
        <v>0</v>
      </c>
      <c r="M966">
        <v>3.074733248985392</v>
      </c>
      <c r="N966">
        <v>0</v>
      </c>
    </row>
    <row r="967" spans="9:14" x14ac:dyDescent="0.3">
      <c r="I967">
        <v>964</v>
      </c>
      <c r="J967">
        <v>3.9287573160565881</v>
      </c>
      <c r="K967">
        <v>1</v>
      </c>
      <c r="L967">
        <v>1.1416151144729429</v>
      </c>
      <c r="M967">
        <v>5.070372430529531</v>
      </c>
      <c r="N967">
        <v>0</v>
      </c>
    </row>
    <row r="968" spans="9:14" x14ac:dyDescent="0.3">
      <c r="I968">
        <v>965</v>
      </c>
      <c r="J968">
        <v>3.9261204858998369</v>
      </c>
      <c r="K968">
        <v>1</v>
      </c>
      <c r="L968">
        <v>1.9597607815376621</v>
      </c>
      <c r="M968">
        <v>5.8858812674374992</v>
      </c>
      <c r="N968">
        <v>0</v>
      </c>
    </row>
    <row r="969" spans="9:14" x14ac:dyDescent="0.3">
      <c r="I969">
        <v>966</v>
      </c>
      <c r="J969">
        <v>2.8562695718261781</v>
      </c>
      <c r="K969">
        <v>1</v>
      </c>
      <c r="L969">
        <v>1.7727410900030249</v>
      </c>
      <c r="M969">
        <v>4.6290106618292031</v>
      </c>
      <c r="N969">
        <v>0</v>
      </c>
    </row>
    <row r="970" spans="9:14" x14ac:dyDescent="0.3">
      <c r="I970">
        <v>967</v>
      </c>
      <c r="J970">
        <v>2.5550438471106638</v>
      </c>
      <c r="K970">
        <v>0</v>
      </c>
      <c r="L970">
        <v>0</v>
      </c>
      <c r="M970">
        <v>2.5550438471106638</v>
      </c>
      <c r="N970">
        <v>1</v>
      </c>
    </row>
    <row r="971" spans="9:14" x14ac:dyDescent="0.3">
      <c r="I971">
        <v>968</v>
      </c>
      <c r="J971">
        <v>4.0018807942237142</v>
      </c>
      <c r="K971">
        <v>0</v>
      </c>
      <c r="L971">
        <v>0</v>
      </c>
      <c r="M971">
        <v>4.0018807942237142</v>
      </c>
      <c r="N971">
        <v>0</v>
      </c>
    </row>
    <row r="972" spans="9:14" x14ac:dyDescent="0.3">
      <c r="I972">
        <v>969</v>
      </c>
      <c r="J972">
        <v>2.6786510701887032</v>
      </c>
      <c r="K972">
        <v>0</v>
      </c>
      <c r="L972">
        <v>0</v>
      </c>
      <c r="M972">
        <v>2.6786510701887032</v>
      </c>
      <c r="N972">
        <v>1</v>
      </c>
    </row>
    <row r="973" spans="9:14" x14ac:dyDescent="0.3">
      <c r="I973">
        <v>970</v>
      </c>
      <c r="J973">
        <v>2.7252400099686249</v>
      </c>
      <c r="K973">
        <v>0</v>
      </c>
      <c r="L973">
        <v>0</v>
      </c>
      <c r="M973">
        <v>2.7252400099686249</v>
      </c>
      <c r="N973">
        <v>1</v>
      </c>
    </row>
    <row r="974" spans="9:14" x14ac:dyDescent="0.3">
      <c r="I974">
        <v>971</v>
      </c>
      <c r="J974">
        <v>2.7451360454598102</v>
      </c>
      <c r="K974">
        <v>1</v>
      </c>
      <c r="L974">
        <v>1.309578439858426</v>
      </c>
      <c r="M974">
        <v>4.054714485318236</v>
      </c>
      <c r="N974">
        <v>0</v>
      </c>
    </row>
    <row r="975" spans="9:14" x14ac:dyDescent="0.3">
      <c r="I975">
        <v>972</v>
      </c>
      <c r="J975">
        <v>2.3080704621613521</v>
      </c>
      <c r="K975">
        <v>0</v>
      </c>
      <c r="L975">
        <v>0</v>
      </c>
      <c r="M975">
        <v>2.3080704621613521</v>
      </c>
      <c r="N975">
        <v>1</v>
      </c>
    </row>
    <row r="976" spans="9:14" x14ac:dyDescent="0.3">
      <c r="I976">
        <v>973</v>
      </c>
      <c r="J976">
        <v>2.9530011189531051</v>
      </c>
      <c r="K976">
        <v>0</v>
      </c>
      <c r="L976">
        <v>0</v>
      </c>
      <c r="M976">
        <v>2.9530011189531051</v>
      </c>
      <c r="N976">
        <v>1</v>
      </c>
    </row>
    <row r="977" spans="9:14" x14ac:dyDescent="0.3">
      <c r="I977">
        <v>974</v>
      </c>
      <c r="J977">
        <v>2.8497022983463691</v>
      </c>
      <c r="K977">
        <v>1</v>
      </c>
      <c r="L977">
        <v>1.0543782248556239</v>
      </c>
      <c r="M977">
        <v>3.9040805232019928</v>
      </c>
      <c r="N977">
        <v>0</v>
      </c>
    </row>
    <row r="978" spans="9:14" x14ac:dyDescent="0.3">
      <c r="I978">
        <v>975</v>
      </c>
      <c r="J978">
        <v>2.531141488038632</v>
      </c>
      <c r="K978">
        <v>0</v>
      </c>
      <c r="L978">
        <v>0</v>
      </c>
      <c r="M978">
        <v>2.531141488038632</v>
      </c>
      <c r="N978">
        <v>1</v>
      </c>
    </row>
    <row r="979" spans="9:14" x14ac:dyDescent="0.3">
      <c r="I979">
        <v>976</v>
      </c>
      <c r="J979">
        <v>3.8053774145284169</v>
      </c>
      <c r="K979">
        <v>0</v>
      </c>
      <c r="L979">
        <v>0</v>
      </c>
      <c r="M979">
        <v>3.8053774145284169</v>
      </c>
      <c r="N979">
        <v>0</v>
      </c>
    </row>
    <row r="980" spans="9:14" x14ac:dyDescent="0.3">
      <c r="I980">
        <v>977</v>
      </c>
      <c r="J980">
        <v>2.772256243490808</v>
      </c>
      <c r="K980">
        <v>0</v>
      </c>
      <c r="L980">
        <v>0</v>
      </c>
      <c r="M980">
        <v>2.772256243490808</v>
      </c>
      <c r="N980">
        <v>1</v>
      </c>
    </row>
    <row r="981" spans="9:14" x14ac:dyDescent="0.3">
      <c r="I981">
        <v>978</v>
      </c>
      <c r="J981">
        <v>3.9887140925440692</v>
      </c>
      <c r="K981">
        <v>0</v>
      </c>
      <c r="L981">
        <v>0</v>
      </c>
      <c r="M981">
        <v>3.9887140925440692</v>
      </c>
      <c r="N981">
        <v>0</v>
      </c>
    </row>
    <row r="982" spans="9:14" x14ac:dyDescent="0.3">
      <c r="I982">
        <v>979</v>
      </c>
      <c r="J982">
        <v>3.2448685959797992</v>
      </c>
      <c r="K982">
        <v>1</v>
      </c>
      <c r="L982">
        <v>1.4394579127995231</v>
      </c>
      <c r="M982">
        <v>4.6843265087793222</v>
      </c>
      <c r="N982">
        <v>0</v>
      </c>
    </row>
    <row r="983" spans="9:14" x14ac:dyDescent="0.3">
      <c r="I983">
        <v>980</v>
      </c>
      <c r="J983">
        <v>4.1095425784527864</v>
      </c>
      <c r="K983">
        <v>0</v>
      </c>
      <c r="L983">
        <v>0</v>
      </c>
      <c r="M983">
        <v>4.1095425784527864</v>
      </c>
      <c r="N983">
        <v>0</v>
      </c>
    </row>
    <row r="984" spans="9:14" x14ac:dyDescent="0.3">
      <c r="I984">
        <v>981</v>
      </c>
      <c r="J984">
        <v>3.6458617135632858</v>
      </c>
      <c r="K984">
        <v>0</v>
      </c>
      <c r="L984">
        <v>0</v>
      </c>
      <c r="M984">
        <v>3.6458617135632858</v>
      </c>
      <c r="N984">
        <v>0</v>
      </c>
    </row>
    <row r="985" spans="9:14" x14ac:dyDescent="0.3">
      <c r="I985">
        <v>982</v>
      </c>
      <c r="J985">
        <v>3.1502960071245401</v>
      </c>
      <c r="K985">
        <v>0</v>
      </c>
      <c r="L985">
        <v>0</v>
      </c>
      <c r="M985">
        <v>3.1502960071245401</v>
      </c>
      <c r="N985">
        <v>0</v>
      </c>
    </row>
    <row r="986" spans="9:14" x14ac:dyDescent="0.3">
      <c r="I986">
        <v>983</v>
      </c>
      <c r="J986">
        <v>3.2272893877547482</v>
      </c>
      <c r="K986">
        <v>0</v>
      </c>
      <c r="L986">
        <v>0</v>
      </c>
      <c r="M986">
        <v>3.2272893877547482</v>
      </c>
      <c r="N986">
        <v>0</v>
      </c>
    </row>
    <row r="987" spans="9:14" x14ac:dyDescent="0.3">
      <c r="I987">
        <v>984</v>
      </c>
      <c r="J987">
        <v>2.958177442861341</v>
      </c>
      <c r="K987">
        <v>0</v>
      </c>
      <c r="L987">
        <v>0</v>
      </c>
      <c r="M987">
        <v>2.958177442861341</v>
      </c>
      <c r="N987">
        <v>1</v>
      </c>
    </row>
    <row r="988" spans="9:14" x14ac:dyDescent="0.3">
      <c r="I988">
        <v>985</v>
      </c>
      <c r="J988">
        <v>4.0181084522165369</v>
      </c>
      <c r="K988">
        <v>0</v>
      </c>
      <c r="L988">
        <v>0</v>
      </c>
      <c r="M988">
        <v>4.0181084522165369</v>
      </c>
      <c r="N988">
        <v>0</v>
      </c>
    </row>
    <row r="989" spans="9:14" x14ac:dyDescent="0.3">
      <c r="I989">
        <v>986</v>
      </c>
      <c r="J989">
        <v>4.2355222145351163</v>
      </c>
      <c r="K989">
        <v>0</v>
      </c>
      <c r="L989">
        <v>0</v>
      </c>
      <c r="M989">
        <v>4.2355222145351163</v>
      </c>
      <c r="N989">
        <v>0</v>
      </c>
    </row>
    <row r="990" spans="9:14" x14ac:dyDescent="0.3">
      <c r="I990">
        <v>987</v>
      </c>
      <c r="J990">
        <v>3.6971273924710419</v>
      </c>
      <c r="K990">
        <v>0</v>
      </c>
      <c r="L990">
        <v>0</v>
      </c>
      <c r="M990">
        <v>3.6971273924710419</v>
      </c>
      <c r="N990">
        <v>0</v>
      </c>
    </row>
    <row r="991" spans="9:14" x14ac:dyDescent="0.3">
      <c r="I991">
        <v>988</v>
      </c>
      <c r="J991">
        <v>3.0205875763211161</v>
      </c>
      <c r="K991">
        <v>1</v>
      </c>
      <c r="L991">
        <v>1.674565397806201</v>
      </c>
      <c r="M991">
        <v>4.6951529741273159</v>
      </c>
      <c r="N991">
        <v>0</v>
      </c>
    </row>
    <row r="992" spans="9:14" x14ac:dyDescent="0.3">
      <c r="I992">
        <v>989</v>
      </c>
      <c r="J992">
        <v>3.0083229750952181</v>
      </c>
      <c r="K992">
        <v>0</v>
      </c>
      <c r="L992">
        <v>0</v>
      </c>
      <c r="M992">
        <v>3.0083229750952181</v>
      </c>
      <c r="N992">
        <v>0</v>
      </c>
    </row>
    <row r="993" spans="9:14" x14ac:dyDescent="0.3">
      <c r="I993">
        <v>990</v>
      </c>
      <c r="J993">
        <v>4.120765935325851</v>
      </c>
      <c r="K993">
        <v>0</v>
      </c>
      <c r="L993">
        <v>0</v>
      </c>
      <c r="M993">
        <v>4.120765935325851</v>
      </c>
      <c r="N993">
        <v>0</v>
      </c>
    </row>
    <row r="994" spans="9:14" x14ac:dyDescent="0.3">
      <c r="I994">
        <v>991</v>
      </c>
      <c r="J994">
        <v>2.300163738005212</v>
      </c>
      <c r="K994">
        <v>0</v>
      </c>
      <c r="L994">
        <v>0</v>
      </c>
      <c r="M994">
        <v>2.300163738005212</v>
      </c>
      <c r="N994">
        <v>1</v>
      </c>
    </row>
    <row r="995" spans="9:14" x14ac:dyDescent="0.3">
      <c r="I995">
        <v>992</v>
      </c>
      <c r="J995">
        <v>4.2795505037492694</v>
      </c>
      <c r="K995">
        <v>0</v>
      </c>
      <c r="L995">
        <v>0</v>
      </c>
      <c r="M995">
        <v>4.2795505037492694</v>
      </c>
      <c r="N995">
        <v>0</v>
      </c>
    </row>
    <row r="996" spans="9:14" x14ac:dyDescent="0.3">
      <c r="I996">
        <v>993</v>
      </c>
      <c r="J996">
        <v>2.511119918104503</v>
      </c>
      <c r="K996">
        <v>0</v>
      </c>
      <c r="L996">
        <v>0</v>
      </c>
      <c r="M996">
        <v>2.511119918104503</v>
      </c>
      <c r="N996">
        <v>1</v>
      </c>
    </row>
    <row r="997" spans="9:14" x14ac:dyDescent="0.3">
      <c r="I997">
        <v>994</v>
      </c>
      <c r="J997">
        <v>4.0850757726523756</v>
      </c>
      <c r="K997">
        <v>0</v>
      </c>
      <c r="L997">
        <v>0</v>
      </c>
      <c r="M997">
        <v>4.0850757726523756</v>
      </c>
      <c r="N997">
        <v>0</v>
      </c>
    </row>
    <row r="998" spans="9:14" x14ac:dyDescent="0.3">
      <c r="I998">
        <v>995</v>
      </c>
      <c r="J998">
        <v>4.1851298959735121</v>
      </c>
      <c r="K998">
        <v>0</v>
      </c>
      <c r="L998">
        <v>0</v>
      </c>
      <c r="M998">
        <v>4.1851298959735121</v>
      </c>
      <c r="N998">
        <v>0</v>
      </c>
    </row>
    <row r="999" spans="9:14" x14ac:dyDescent="0.3">
      <c r="I999">
        <v>996</v>
      </c>
      <c r="J999">
        <v>3.4443660162897558</v>
      </c>
      <c r="K999">
        <v>1</v>
      </c>
      <c r="L999">
        <v>1.2825598582814419</v>
      </c>
      <c r="M999">
        <v>4.7269258745711973</v>
      </c>
      <c r="N999">
        <v>0</v>
      </c>
    </row>
    <row r="1000" spans="9:14" x14ac:dyDescent="0.3">
      <c r="I1000">
        <v>997</v>
      </c>
      <c r="J1000">
        <v>3.6300355366362012</v>
      </c>
      <c r="K1000">
        <v>0</v>
      </c>
      <c r="L1000">
        <v>0</v>
      </c>
      <c r="M1000">
        <v>3.6300355366362012</v>
      </c>
      <c r="N1000">
        <v>0</v>
      </c>
    </row>
    <row r="1001" spans="9:14" x14ac:dyDescent="0.3">
      <c r="I1001">
        <v>998</v>
      </c>
      <c r="J1001">
        <v>4.0818823063079916</v>
      </c>
      <c r="K1001">
        <v>1</v>
      </c>
      <c r="L1001">
        <v>1.111902296630372</v>
      </c>
      <c r="M1001">
        <v>5.1937846029383641</v>
      </c>
      <c r="N1001">
        <v>0</v>
      </c>
    </row>
    <row r="1002" spans="9:14" x14ac:dyDescent="0.3">
      <c r="I1002">
        <v>999</v>
      </c>
      <c r="J1002">
        <v>3.2660515670768868</v>
      </c>
      <c r="K1002">
        <v>1</v>
      </c>
      <c r="L1002">
        <v>1.635554701236134</v>
      </c>
      <c r="M1002">
        <v>4.9016062683130208</v>
      </c>
      <c r="N1002">
        <v>0</v>
      </c>
    </row>
    <row r="1003" spans="9:14" x14ac:dyDescent="0.3">
      <c r="I1003">
        <v>1000</v>
      </c>
      <c r="J1003">
        <v>2.409004061068964</v>
      </c>
      <c r="K1003">
        <v>0</v>
      </c>
      <c r="L1003">
        <v>0</v>
      </c>
      <c r="M1003">
        <v>2.409004061068964</v>
      </c>
      <c r="N100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1003"/>
  <sheetViews>
    <sheetView rightToLeft="1" workbookViewId="0">
      <selection activeCell="J4" sqref="J4"/>
    </sheetView>
  </sheetViews>
  <sheetFormatPr defaultRowHeight="14.4" x14ac:dyDescent="0.3"/>
  <cols>
    <col min="2" max="2" width="28" customWidth="1"/>
    <col min="3" max="7" width="14" customWidth="1"/>
    <col min="13" max="13" width="10" customWidth="1"/>
    <col min="14" max="18" width="14" customWidth="1"/>
  </cols>
  <sheetData>
    <row r="1" spans="2:14" x14ac:dyDescent="0.3">
      <c r="B1" t="s">
        <v>182</v>
      </c>
    </row>
    <row r="3" spans="2:14" x14ac:dyDescent="0.3">
      <c r="B3" t="s">
        <v>152</v>
      </c>
      <c r="F3" t="s">
        <v>153</v>
      </c>
      <c r="I3" t="s">
        <v>154</v>
      </c>
      <c r="J3" t="s">
        <v>155</v>
      </c>
      <c r="K3" t="s">
        <v>156</v>
      </c>
      <c r="L3" t="s">
        <v>157</v>
      </c>
      <c r="M3" t="s">
        <v>158</v>
      </c>
      <c r="N3" t="s">
        <v>159</v>
      </c>
    </row>
    <row r="4" spans="2:14" x14ac:dyDescent="0.3">
      <c r="B4" t="s">
        <v>27</v>
      </c>
      <c r="C4">
        <v>2</v>
      </c>
      <c r="F4" t="s">
        <v>160</v>
      </c>
      <c r="G4">
        <v>2.735448256996607</v>
      </c>
      <c r="I4">
        <v>1</v>
      </c>
      <c r="J4">
        <v>1.705265316844043</v>
      </c>
      <c r="K4">
        <v>0</v>
      </c>
      <c r="L4">
        <v>0</v>
      </c>
      <c r="M4">
        <v>1.705265316844043</v>
      </c>
      <c r="N4">
        <v>1</v>
      </c>
    </row>
    <row r="5" spans="2:14" x14ac:dyDescent="0.3">
      <c r="B5" t="s">
        <v>161</v>
      </c>
      <c r="C5">
        <v>1</v>
      </c>
      <c r="F5" t="s">
        <v>162</v>
      </c>
      <c r="G5">
        <v>0.85039402627104566</v>
      </c>
      <c r="I5">
        <v>2</v>
      </c>
      <c r="J5">
        <v>1.5943914208895551</v>
      </c>
      <c r="K5">
        <v>1</v>
      </c>
      <c r="L5">
        <v>1.050912019674199</v>
      </c>
      <c r="M5">
        <v>2.6453034405637541</v>
      </c>
      <c r="N5">
        <v>0</v>
      </c>
    </row>
    <row r="6" spans="2:14" x14ac:dyDescent="0.3">
      <c r="B6" t="s">
        <v>163</v>
      </c>
      <c r="C6">
        <v>2</v>
      </c>
      <c r="F6" t="s">
        <v>164</v>
      </c>
      <c r="G6">
        <v>0.25900000000000001</v>
      </c>
      <c r="I6">
        <v>3</v>
      </c>
      <c r="J6">
        <v>2.1503946451652922</v>
      </c>
      <c r="K6">
        <v>1</v>
      </c>
      <c r="L6">
        <v>1.6152876103572411</v>
      </c>
      <c r="M6">
        <v>3.7656822555225329</v>
      </c>
      <c r="N6">
        <v>0</v>
      </c>
    </row>
    <row r="7" spans="2:14" x14ac:dyDescent="0.3">
      <c r="B7" t="s">
        <v>165</v>
      </c>
      <c r="C7">
        <v>3</v>
      </c>
      <c r="F7" t="s">
        <v>166</v>
      </c>
      <c r="G7">
        <v>0.31087922211503949</v>
      </c>
      <c r="I7">
        <v>4</v>
      </c>
      <c r="J7">
        <v>1.9351067673512361</v>
      </c>
      <c r="K7">
        <v>1</v>
      </c>
      <c r="L7">
        <v>1.3353261568686969</v>
      </c>
      <c r="M7">
        <v>3.270432924219933</v>
      </c>
      <c r="N7">
        <v>0</v>
      </c>
    </row>
    <row r="8" spans="2:14" x14ac:dyDescent="0.3">
      <c r="B8" t="s">
        <v>167</v>
      </c>
      <c r="C8">
        <v>3</v>
      </c>
      <c r="F8" t="s">
        <v>168</v>
      </c>
      <c r="G8">
        <v>4.0826930824938694</v>
      </c>
      <c r="I8">
        <v>5</v>
      </c>
      <c r="J8">
        <v>1.989408896252346</v>
      </c>
      <c r="K8">
        <v>1</v>
      </c>
      <c r="L8">
        <v>1.7577272195893801</v>
      </c>
      <c r="M8">
        <v>3.7471361158417271</v>
      </c>
      <c r="N8">
        <v>0</v>
      </c>
    </row>
    <row r="9" spans="2:14" x14ac:dyDescent="0.3">
      <c r="B9" t="s">
        <v>169</v>
      </c>
      <c r="C9">
        <v>3</v>
      </c>
      <c r="F9" t="s">
        <v>170</v>
      </c>
      <c r="G9">
        <v>4.2540339619794194</v>
      </c>
      <c r="I9">
        <v>6</v>
      </c>
      <c r="J9">
        <v>1.9924957221566619</v>
      </c>
      <c r="K9">
        <v>1</v>
      </c>
      <c r="L9">
        <v>1.8535500226639681</v>
      </c>
      <c r="M9">
        <v>3.8460457448206289</v>
      </c>
      <c r="N9">
        <v>0</v>
      </c>
    </row>
    <row r="10" spans="2:14" x14ac:dyDescent="0.3">
      <c r="B10" t="s">
        <v>171</v>
      </c>
      <c r="C10">
        <v>0.5</v>
      </c>
      <c r="F10" t="s">
        <v>172</v>
      </c>
      <c r="G10">
        <v>0.17134087948554999</v>
      </c>
      <c r="I10">
        <v>7</v>
      </c>
      <c r="J10">
        <v>2.3277531484299199</v>
      </c>
      <c r="K10">
        <v>1</v>
      </c>
      <c r="L10">
        <v>1.4596689766226081</v>
      </c>
      <c r="M10">
        <v>3.7874221250525282</v>
      </c>
      <c r="N10">
        <v>0</v>
      </c>
    </row>
    <row r="11" spans="2:14" x14ac:dyDescent="0.3">
      <c r="B11" t="s">
        <v>145</v>
      </c>
      <c r="C11">
        <v>1</v>
      </c>
      <c r="F11" t="s">
        <v>173</v>
      </c>
      <c r="G11">
        <v>1.041346541246934</v>
      </c>
      <c r="I11">
        <v>8</v>
      </c>
      <c r="J11">
        <v>1.573248790938274</v>
      </c>
      <c r="K11">
        <v>1</v>
      </c>
      <c r="L11">
        <v>1.253876085179106</v>
      </c>
      <c r="M11">
        <v>2.8271248761173799</v>
      </c>
      <c r="N11">
        <v>0</v>
      </c>
    </row>
    <row r="12" spans="2:14" x14ac:dyDescent="0.3">
      <c r="B12" t="s">
        <v>146</v>
      </c>
      <c r="C12">
        <v>2</v>
      </c>
      <c r="F12" t="s">
        <v>174</v>
      </c>
      <c r="G12">
        <v>2.0413465412469338</v>
      </c>
      <c r="I12">
        <v>9</v>
      </c>
      <c r="J12">
        <v>1.984790575728079</v>
      </c>
      <c r="K12">
        <v>1</v>
      </c>
      <c r="L12">
        <v>1.253301985470354</v>
      </c>
      <c r="M12">
        <v>3.238092561198433</v>
      </c>
      <c r="N12">
        <v>0</v>
      </c>
    </row>
    <row r="13" spans="2:14" x14ac:dyDescent="0.3">
      <c r="B13" t="s">
        <v>175</v>
      </c>
      <c r="C13">
        <v>1000</v>
      </c>
      <c r="F13" t="s">
        <v>176</v>
      </c>
      <c r="G13">
        <v>1.347244825497262</v>
      </c>
      <c r="I13">
        <v>10</v>
      </c>
      <c r="J13">
        <v>2.1086631379592831</v>
      </c>
      <c r="K13">
        <v>0</v>
      </c>
      <c r="L13">
        <v>0</v>
      </c>
      <c r="M13">
        <v>2.1086631379592831</v>
      </c>
      <c r="N13">
        <v>0</v>
      </c>
    </row>
    <row r="14" spans="2:14" x14ac:dyDescent="0.3">
      <c r="I14">
        <v>11</v>
      </c>
      <c r="J14">
        <v>2.353931236836488</v>
      </c>
      <c r="K14">
        <v>1</v>
      </c>
      <c r="L14">
        <v>1.649585513652877</v>
      </c>
      <c r="M14">
        <v>4.0035167504893661</v>
      </c>
      <c r="N14">
        <v>0</v>
      </c>
    </row>
    <row r="15" spans="2:14" x14ac:dyDescent="0.3">
      <c r="I15">
        <v>12</v>
      </c>
      <c r="J15">
        <v>2.2508800126527659</v>
      </c>
      <c r="K15">
        <v>1</v>
      </c>
      <c r="L15">
        <v>1.84173508618044</v>
      </c>
      <c r="M15">
        <v>4.092615098833206</v>
      </c>
      <c r="N15">
        <v>0</v>
      </c>
    </row>
    <row r="16" spans="2:14" x14ac:dyDescent="0.3">
      <c r="I16">
        <v>13</v>
      </c>
      <c r="J16">
        <v>1.60713680874466</v>
      </c>
      <c r="K16">
        <v>1</v>
      </c>
      <c r="L16">
        <v>1.2602457503887881</v>
      </c>
      <c r="M16">
        <v>2.8673825591334481</v>
      </c>
      <c r="N16">
        <v>0</v>
      </c>
    </row>
    <row r="17" spans="6:14" x14ac:dyDescent="0.3">
      <c r="F17" t="s">
        <v>177</v>
      </c>
      <c r="I17">
        <v>14</v>
      </c>
      <c r="J17">
        <v>2.1333782687916769</v>
      </c>
      <c r="K17">
        <v>1</v>
      </c>
      <c r="L17">
        <v>1.6620696094152281</v>
      </c>
      <c r="M17">
        <v>3.7954478782069052</v>
      </c>
      <c r="N17">
        <v>0</v>
      </c>
    </row>
    <row r="18" spans="6:14" x14ac:dyDescent="0.3">
      <c r="F18" t="s">
        <v>178</v>
      </c>
      <c r="G18">
        <v>2.6455872923425821</v>
      </c>
      <c r="I18">
        <v>15</v>
      </c>
      <c r="J18">
        <v>2.6502712286917949</v>
      </c>
      <c r="K18">
        <v>1</v>
      </c>
      <c r="L18">
        <v>1.477678905756963</v>
      </c>
      <c r="M18">
        <v>4.1279501344487581</v>
      </c>
      <c r="N18">
        <v>0</v>
      </c>
    </row>
    <row r="19" spans="6:14" x14ac:dyDescent="0.3">
      <c r="F19" t="s">
        <v>179</v>
      </c>
      <c r="G19">
        <v>3.8715565876516962</v>
      </c>
      <c r="I19">
        <v>16</v>
      </c>
      <c r="J19">
        <v>1.685500666314723</v>
      </c>
      <c r="K19">
        <v>1</v>
      </c>
      <c r="L19">
        <v>1.4405938138111061</v>
      </c>
      <c r="M19">
        <v>3.126094480125829</v>
      </c>
      <c r="N19">
        <v>0</v>
      </c>
    </row>
    <row r="20" spans="6:14" x14ac:dyDescent="0.3">
      <c r="F20" t="s">
        <v>180</v>
      </c>
      <c r="G20">
        <v>4.0826930824938694</v>
      </c>
      <c r="I20">
        <v>17</v>
      </c>
      <c r="J20">
        <v>1.9770293080888419</v>
      </c>
      <c r="K20">
        <v>0</v>
      </c>
      <c r="L20">
        <v>0</v>
      </c>
      <c r="M20">
        <v>1.9770293080888419</v>
      </c>
      <c r="N20">
        <v>1</v>
      </c>
    </row>
    <row r="21" spans="6:14" x14ac:dyDescent="0.3">
      <c r="I21">
        <v>18</v>
      </c>
      <c r="J21">
        <v>1.7117404706367441</v>
      </c>
      <c r="K21">
        <v>1</v>
      </c>
      <c r="L21">
        <v>1.6110126398871709</v>
      </c>
      <c r="M21">
        <v>3.322753110523915</v>
      </c>
      <c r="N21">
        <v>0</v>
      </c>
    </row>
    <row r="22" spans="6:14" x14ac:dyDescent="0.3">
      <c r="I22">
        <v>19</v>
      </c>
      <c r="J22">
        <v>2.268116610225698</v>
      </c>
      <c r="K22">
        <v>0</v>
      </c>
      <c r="L22">
        <v>0</v>
      </c>
      <c r="M22">
        <v>2.268116610225698</v>
      </c>
      <c r="N22">
        <v>0</v>
      </c>
    </row>
    <row r="23" spans="6:14" x14ac:dyDescent="0.3">
      <c r="I23">
        <v>20</v>
      </c>
      <c r="J23">
        <v>2.127547337938807</v>
      </c>
      <c r="K23">
        <v>0</v>
      </c>
      <c r="L23">
        <v>0</v>
      </c>
      <c r="M23">
        <v>2.127547337938807</v>
      </c>
      <c r="N23">
        <v>0</v>
      </c>
    </row>
    <row r="24" spans="6:14" x14ac:dyDescent="0.3">
      <c r="I24">
        <v>21</v>
      </c>
      <c r="J24">
        <v>1.61270718541629</v>
      </c>
      <c r="K24">
        <v>1</v>
      </c>
      <c r="L24">
        <v>1.767269500434798</v>
      </c>
      <c r="M24">
        <v>3.379976685851088</v>
      </c>
      <c r="N24">
        <v>0</v>
      </c>
    </row>
    <row r="25" spans="6:14" x14ac:dyDescent="0.3">
      <c r="I25">
        <v>22</v>
      </c>
      <c r="J25">
        <v>1.344037935040155</v>
      </c>
      <c r="K25">
        <v>1</v>
      </c>
      <c r="L25">
        <v>1.941470485354535</v>
      </c>
      <c r="M25">
        <v>3.2855084203946898</v>
      </c>
      <c r="N25">
        <v>0</v>
      </c>
    </row>
    <row r="26" spans="6:14" x14ac:dyDescent="0.3">
      <c r="I26">
        <v>23</v>
      </c>
      <c r="J26">
        <v>2.3414225871569512</v>
      </c>
      <c r="K26">
        <v>0</v>
      </c>
      <c r="L26">
        <v>0</v>
      </c>
      <c r="M26">
        <v>2.3414225871569512</v>
      </c>
      <c r="N26">
        <v>0</v>
      </c>
    </row>
    <row r="27" spans="6:14" x14ac:dyDescent="0.3">
      <c r="I27">
        <v>24</v>
      </c>
      <c r="J27">
        <v>2.1366016826156198</v>
      </c>
      <c r="K27">
        <v>1</v>
      </c>
      <c r="L27">
        <v>1.630674449318986</v>
      </c>
      <c r="M27">
        <v>3.7672761319346062</v>
      </c>
      <c r="N27">
        <v>0</v>
      </c>
    </row>
    <row r="28" spans="6:14" x14ac:dyDescent="0.3">
      <c r="I28">
        <v>25</v>
      </c>
      <c r="J28">
        <v>1.606307630287898</v>
      </c>
      <c r="K28">
        <v>0</v>
      </c>
      <c r="L28">
        <v>0</v>
      </c>
      <c r="M28">
        <v>1.606307630287898</v>
      </c>
      <c r="N28">
        <v>1</v>
      </c>
    </row>
    <row r="29" spans="6:14" x14ac:dyDescent="0.3">
      <c r="I29">
        <v>26</v>
      </c>
      <c r="J29">
        <v>2.0312143454042739</v>
      </c>
      <c r="K29">
        <v>0</v>
      </c>
      <c r="L29">
        <v>0</v>
      </c>
      <c r="M29">
        <v>2.0312143454042739</v>
      </c>
      <c r="N29">
        <v>0</v>
      </c>
    </row>
    <row r="30" spans="6:14" x14ac:dyDescent="0.3">
      <c r="I30">
        <v>27</v>
      </c>
      <c r="J30">
        <v>2.2848712772923099</v>
      </c>
      <c r="K30">
        <v>0</v>
      </c>
      <c r="L30">
        <v>0</v>
      </c>
      <c r="M30">
        <v>2.2848712772923099</v>
      </c>
      <c r="N30">
        <v>0</v>
      </c>
    </row>
    <row r="31" spans="6:14" x14ac:dyDescent="0.3">
      <c r="I31">
        <v>28</v>
      </c>
      <c r="J31">
        <v>1.6613491140999681</v>
      </c>
      <c r="K31">
        <v>1</v>
      </c>
      <c r="L31">
        <v>1.315043760881548</v>
      </c>
      <c r="M31">
        <v>2.9763928749815149</v>
      </c>
      <c r="N31">
        <v>0</v>
      </c>
    </row>
    <row r="32" spans="6:14" x14ac:dyDescent="0.3">
      <c r="I32">
        <v>29</v>
      </c>
      <c r="J32">
        <v>1.8859923709233259</v>
      </c>
      <c r="K32">
        <v>0</v>
      </c>
      <c r="L32">
        <v>0</v>
      </c>
      <c r="M32">
        <v>1.8859923709233259</v>
      </c>
      <c r="N32">
        <v>1</v>
      </c>
    </row>
    <row r="33" spans="9:14" x14ac:dyDescent="0.3">
      <c r="I33">
        <v>30</v>
      </c>
      <c r="J33">
        <v>1.9766741988248291</v>
      </c>
      <c r="K33">
        <v>0</v>
      </c>
      <c r="L33">
        <v>0</v>
      </c>
      <c r="M33">
        <v>1.9766741988248291</v>
      </c>
      <c r="N33">
        <v>1</v>
      </c>
    </row>
    <row r="34" spans="9:14" x14ac:dyDescent="0.3">
      <c r="I34">
        <v>31</v>
      </c>
      <c r="J34">
        <v>2.2518224404049798</v>
      </c>
      <c r="K34">
        <v>1</v>
      </c>
      <c r="L34">
        <v>1.3361520136067819</v>
      </c>
      <c r="M34">
        <v>3.587974454011762</v>
      </c>
      <c r="N34">
        <v>0</v>
      </c>
    </row>
    <row r="35" spans="9:14" x14ac:dyDescent="0.3">
      <c r="I35">
        <v>32</v>
      </c>
      <c r="J35">
        <v>2.01804129219075</v>
      </c>
      <c r="K35">
        <v>1</v>
      </c>
      <c r="L35">
        <v>1.0903422702867569</v>
      </c>
      <c r="M35">
        <v>3.1083835624775071</v>
      </c>
      <c r="N35">
        <v>0</v>
      </c>
    </row>
    <row r="36" spans="9:14" x14ac:dyDescent="0.3">
      <c r="I36">
        <v>33</v>
      </c>
      <c r="J36">
        <v>1.99402443820572</v>
      </c>
      <c r="K36">
        <v>0</v>
      </c>
      <c r="L36">
        <v>0</v>
      </c>
      <c r="M36">
        <v>1.99402443820572</v>
      </c>
      <c r="N36">
        <v>1</v>
      </c>
    </row>
    <row r="37" spans="9:14" x14ac:dyDescent="0.3">
      <c r="I37">
        <v>34</v>
      </c>
      <c r="J37">
        <v>1.486819024508589</v>
      </c>
      <c r="K37">
        <v>0</v>
      </c>
      <c r="L37">
        <v>0</v>
      </c>
      <c r="M37">
        <v>1.486819024508589</v>
      </c>
      <c r="N37">
        <v>1</v>
      </c>
    </row>
    <row r="38" spans="9:14" x14ac:dyDescent="0.3">
      <c r="I38">
        <v>35</v>
      </c>
      <c r="J38">
        <v>2.2461754307277042</v>
      </c>
      <c r="K38">
        <v>1</v>
      </c>
      <c r="L38">
        <v>1.357478145359051</v>
      </c>
      <c r="M38">
        <v>3.6036535760867552</v>
      </c>
      <c r="N38">
        <v>0</v>
      </c>
    </row>
    <row r="39" spans="9:14" x14ac:dyDescent="0.3">
      <c r="I39">
        <v>36</v>
      </c>
      <c r="J39">
        <v>2.8050119929184749</v>
      </c>
      <c r="K39">
        <v>1</v>
      </c>
      <c r="L39">
        <v>1.635604852665371</v>
      </c>
      <c r="M39">
        <v>4.4406168455838468</v>
      </c>
      <c r="N39">
        <v>0</v>
      </c>
    </row>
    <row r="40" spans="9:14" x14ac:dyDescent="0.3">
      <c r="I40">
        <v>37</v>
      </c>
      <c r="J40">
        <v>2.1553464830475311</v>
      </c>
      <c r="K40">
        <v>0</v>
      </c>
      <c r="L40">
        <v>0</v>
      </c>
      <c r="M40">
        <v>2.1553464830475311</v>
      </c>
      <c r="N40">
        <v>0</v>
      </c>
    </row>
    <row r="41" spans="9:14" x14ac:dyDescent="0.3">
      <c r="I41">
        <v>38</v>
      </c>
      <c r="J41">
        <v>2.0924630833899101</v>
      </c>
      <c r="K41">
        <v>1</v>
      </c>
      <c r="L41">
        <v>1.2510851671119709</v>
      </c>
      <c r="M41">
        <v>3.3435482505018812</v>
      </c>
      <c r="N41">
        <v>0</v>
      </c>
    </row>
    <row r="42" spans="9:14" x14ac:dyDescent="0.3">
      <c r="I42">
        <v>39</v>
      </c>
      <c r="J42">
        <v>1.887800313134627</v>
      </c>
      <c r="K42">
        <v>1</v>
      </c>
      <c r="L42">
        <v>1.9339756174711891</v>
      </c>
      <c r="M42">
        <v>3.821775930605817</v>
      </c>
      <c r="N42">
        <v>0</v>
      </c>
    </row>
    <row r="43" spans="9:14" x14ac:dyDescent="0.3">
      <c r="I43">
        <v>40</v>
      </c>
      <c r="J43">
        <v>1.7391587248399909</v>
      </c>
      <c r="K43">
        <v>1</v>
      </c>
      <c r="L43">
        <v>1.1587836714790629</v>
      </c>
      <c r="M43">
        <v>2.897942396319054</v>
      </c>
      <c r="N43">
        <v>0</v>
      </c>
    </row>
    <row r="44" spans="9:14" x14ac:dyDescent="0.3">
      <c r="I44">
        <v>41</v>
      </c>
      <c r="J44">
        <v>1.8471943611633119</v>
      </c>
      <c r="K44">
        <v>0</v>
      </c>
      <c r="L44">
        <v>0</v>
      </c>
      <c r="M44">
        <v>1.8471943611633119</v>
      </c>
      <c r="N44">
        <v>1</v>
      </c>
    </row>
    <row r="45" spans="9:14" x14ac:dyDescent="0.3">
      <c r="I45">
        <v>42</v>
      </c>
      <c r="J45">
        <v>1.9728092074417529</v>
      </c>
      <c r="K45">
        <v>1</v>
      </c>
      <c r="L45">
        <v>1.787904977388328</v>
      </c>
      <c r="M45">
        <v>3.7607141848300811</v>
      </c>
      <c r="N45">
        <v>0</v>
      </c>
    </row>
    <row r="46" spans="9:14" x14ac:dyDescent="0.3">
      <c r="I46">
        <v>43</v>
      </c>
      <c r="J46">
        <v>1.546388607171497</v>
      </c>
      <c r="K46">
        <v>0</v>
      </c>
      <c r="L46">
        <v>0</v>
      </c>
      <c r="M46">
        <v>1.546388607171497</v>
      </c>
      <c r="N46">
        <v>1</v>
      </c>
    </row>
    <row r="47" spans="9:14" x14ac:dyDescent="0.3">
      <c r="I47">
        <v>44</v>
      </c>
      <c r="J47">
        <v>2.0062164616768992</v>
      </c>
      <c r="K47">
        <v>0</v>
      </c>
      <c r="L47">
        <v>0</v>
      </c>
      <c r="M47">
        <v>2.0062164616768992</v>
      </c>
      <c r="N47">
        <v>0</v>
      </c>
    </row>
    <row r="48" spans="9:14" x14ac:dyDescent="0.3">
      <c r="I48">
        <v>45</v>
      </c>
      <c r="J48">
        <v>1.5663895799182439</v>
      </c>
      <c r="K48">
        <v>1</v>
      </c>
      <c r="L48">
        <v>1.5065795144900049</v>
      </c>
      <c r="M48">
        <v>3.0729690944082479</v>
      </c>
      <c r="N48">
        <v>0</v>
      </c>
    </row>
    <row r="49" spans="9:14" x14ac:dyDescent="0.3">
      <c r="I49">
        <v>46</v>
      </c>
      <c r="J49">
        <v>1.6748203535280539</v>
      </c>
      <c r="K49">
        <v>0</v>
      </c>
      <c r="L49">
        <v>0</v>
      </c>
      <c r="M49">
        <v>1.6748203535280539</v>
      </c>
      <c r="N49">
        <v>1</v>
      </c>
    </row>
    <row r="50" spans="9:14" x14ac:dyDescent="0.3">
      <c r="I50">
        <v>47</v>
      </c>
      <c r="J50">
        <v>1.8606657355161491</v>
      </c>
      <c r="K50">
        <v>1</v>
      </c>
      <c r="L50">
        <v>1.0582584477336969</v>
      </c>
      <c r="M50">
        <v>2.918924183249846</v>
      </c>
      <c r="N50">
        <v>0</v>
      </c>
    </row>
    <row r="51" spans="9:14" x14ac:dyDescent="0.3">
      <c r="I51">
        <v>48</v>
      </c>
      <c r="J51">
        <v>2.2552578425598422</v>
      </c>
      <c r="K51">
        <v>1</v>
      </c>
      <c r="L51">
        <v>1.916269001151452</v>
      </c>
      <c r="M51">
        <v>4.1715268437112938</v>
      </c>
      <c r="N51">
        <v>0</v>
      </c>
    </row>
    <row r="52" spans="9:14" x14ac:dyDescent="0.3">
      <c r="I52">
        <v>49</v>
      </c>
      <c r="J52">
        <v>1.714643454432099</v>
      </c>
      <c r="K52">
        <v>1</v>
      </c>
      <c r="L52">
        <v>1.6779851004326001</v>
      </c>
      <c r="M52">
        <v>3.3926285548646979</v>
      </c>
      <c r="N52">
        <v>0</v>
      </c>
    </row>
    <row r="53" spans="9:14" x14ac:dyDescent="0.3">
      <c r="I53">
        <v>50</v>
      </c>
      <c r="J53">
        <v>2.1550839224789962</v>
      </c>
      <c r="K53">
        <v>0</v>
      </c>
      <c r="L53">
        <v>0</v>
      </c>
      <c r="M53">
        <v>2.1550839224789962</v>
      </c>
      <c r="N53">
        <v>0</v>
      </c>
    </row>
    <row r="54" spans="9:14" x14ac:dyDescent="0.3">
      <c r="I54">
        <v>51</v>
      </c>
      <c r="J54">
        <v>2.5951520071032541</v>
      </c>
      <c r="K54">
        <v>1</v>
      </c>
      <c r="L54">
        <v>1.385729805396769</v>
      </c>
      <c r="M54">
        <v>3.9808818125000229</v>
      </c>
      <c r="N54">
        <v>0</v>
      </c>
    </row>
    <row r="55" spans="9:14" x14ac:dyDescent="0.3">
      <c r="I55">
        <v>52</v>
      </c>
      <c r="J55">
        <v>2.375735863943949</v>
      </c>
      <c r="K55">
        <v>0</v>
      </c>
      <c r="L55">
        <v>0</v>
      </c>
      <c r="M55">
        <v>2.375735863943949</v>
      </c>
      <c r="N55">
        <v>0</v>
      </c>
    </row>
    <row r="56" spans="9:14" x14ac:dyDescent="0.3">
      <c r="I56">
        <v>53</v>
      </c>
      <c r="J56">
        <v>2.3192921915235201</v>
      </c>
      <c r="K56">
        <v>0</v>
      </c>
      <c r="L56">
        <v>0</v>
      </c>
      <c r="M56">
        <v>2.3192921915235201</v>
      </c>
      <c r="N56">
        <v>0</v>
      </c>
    </row>
    <row r="57" spans="9:14" x14ac:dyDescent="0.3">
      <c r="I57">
        <v>54</v>
      </c>
      <c r="J57">
        <v>1.712712372451564</v>
      </c>
      <c r="K57">
        <v>0</v>
      </c>
      <c r="L57">
        <v>0</v>
      </c>
      <c r="M57">
        <v>1.712712372451564</v>
      </c>
      <c r="N57">
        <v>1</v>
      </c>
    </row>
    <row r="58" spans="9:14" x14ac:dyDescent="0.3">
      <c r="I58">
        <v>55</v>
      </c>
      <c r="J58">
        <v>2.422331797812495</v>
      </c>
      <c r="K58">
        <v>1</v>
      </c>
      <c r="L58">
        <v>1.2808948168159691</v>
      </c>
      <c r="M58">
        <v>3.703226614628464</v>
      </c>
      <c r="N58">
        <v>0</v>
      </c>
    </row>
    <row r="59" spans="9:14" x14ac:dyDescent="0.3">
      <c r="I59">
        <v>56</v>
      </c>
      <c r="J59">
        <v>1.793546845079959</v>
      </c>
      <c r="K59">
        <v>0</v>
      </c>
      <c r="L59">
        <v>0</v>
      </c>
      <c r="M59">
        <v>1.793546845079959</v>
      </c>
      <c r="N59">
        <v>1</v>
      </c>
    </row>
    <row r="60" spans="9:14" x14ac:dyDescent="0.3">
      <c r="I60">
        <v>57</v>
      </c>
      <c r="J60">
        <v>2.4597327988694628</v>
      </c>
      <c r="K60">
        <v>0</v>
      </c>
      <c r="L60">
        <v>0</v>
      </c>
      <c r="M60">
        <v>2.4597327988694628</v>
      </c>
      <c r="N60">
        <v>0</v>
      </c>
    </row>
    <row r="61" spans="9:14" x14ac:dyDescent="0.3">
      <c r="I61">
        <v>58</v>
      </c>
      <c r="J61">
        <v>2.1416728673857639</v>
      </c>
      <c r="K61">
        <v>1</v>
      </c>
      <c r="L61">
        <v>1.596672821249818</v>
      </c>
      <c r="M61">
        <v>3.7383456886355821</v>
      </c>
      <c r="N61">
        <v>0</v>
      </c>
    </row>
    <row r="62" spans="9:14" x14ac:dyDescent="0.3">
      <c r="I62">
        <v>59</v>
      </c>
      <c r="J62">
        <v>1.242212568648005</v>
      </c>
      <c r="K62">
        <v>1</v>
      </c>
      <c r="L62">
        <v>1.537415022266208</v>
      </c>
      <c r="M62">
        <v>2.7796275909142132</v>
      </c>
      <c r="N62">
        <v>0</v>
      </c>
    </row>
    <row r="63" spans="9:14" x14ac:dyDescent="0.3">
      <c r="I63">
        <v>60</v>
      </c>
      <c r="J63">
        <v>2.4130761224637221</v>
      </c>
      <c r="K63">
        <v>1</v>
      </c>
      <c r="L63">
        <v>1.880189070814053</v>
      </c>
      <c r="M63">
        <v>4.2932651932777741</v>
      </c>
      <c r="N63">
        <v>0</v>
      </c>
    </row>
    <row r="64" spans="9:14" x14ac:dyDescent="0.3">
      <c r="I64">
        <v>61</v>
      </c>
      <c r="J64">
        <v>2.4933529220223458</v>
      </c>
      <c r="K64">
        <v>0</v>
      </c>
      <c r="L64">
        <v>0</v>
      </c>
      <c r="M64">
        <v>2.4933529220223458</v>
      </c>
      <c r="N64">
        <v>0</v>
      </c>
    </row>
    <row r="65" spans="9:14" x14ac:dyDescent="0.3">
      <c r="I65">
        <v>62</v>
      </c>
      <c r="J65">
        <v>1.85520793467572</v>
      </c>
      <c r="K65">
        <v>0</v>
      </c>
      <c r="L65">
        <v>0</v>
      </c>
      <c r="M65">
        <v>1.85520793467572</v>
      </c>
      <c r="N65">
        <v>1</v>
      </c>
    </row>
    <row r="66" spans="9:14" x14ac:dyDescent="0.3">
      <c r="I66">
        <v>63</v>
      </c>
      <c r="J66">
        <v>1.6109859844986989</v>
      </c>
      <c r="K66">
        <v>0</v>
      </c>
      <c r="L66">
        <v>0</v>
      </c>
      <c r="M66">
        <v>1.6109859844986989</v>
      </c>
      <c r="N66">
        <v>1</v>
      </c>
    </row>
    <row r="67" spans="9:14" x14ac:dyDescent="0.3">
      <c r="I67">
        <v>64</v>
      </c>
      <c r="J67">
        <v>1.6392091979175041</v>
      </c>
      <c r="K67">
        <v>1</v>
      </c>
      <c r="L67">
        <v>1.9730117420163811</v>
      </c>
      <c r="M67">
        <v>3.612220939933886</v>
      </c>
      <c r="N67">
        <v>0</v>
      </c>
    </row>
    <row r="68" spans="9:14" x14ac:dyDescent="0.3">
      <c r="I68">
        <v>65</v>
      </c>
      <c r="J68">
        <v>2.4215507356909032</v>
      </c>
      <c r="K68">
        <v>0</v>
      </c>
      <c r="L68">
        <v>0</v>
      </c>
      <c r="M68">
        <v>2.4215507356909032</v>
      </c>
      <c r="N68">
        <v>0</v>
      </c>
    </row>
    <row r="69" spans="9:14" x14ac:dyDescent="0.3">
      <c r="I69">
        <v>66</v>
      </c>
      <c r="J69">
        <v>1.822695245487745</v>
      </c>
      <c r="K69">
        <v>0</v>
      </c>
      <c r="L69">
        <v>0</v>
      </c>
      <c r="M69">
        <v>1.822695245487745</v>
      </c>
      <c r="N69">
        <v>1</v>
      </c>
    </row>
    <row r="70" spans="9:14" x14ac:dyDescent="0.3">
      <c r="I70">
        <v>67</v>
      </c>
      <c r="J70">
        <v>1.432686615686892</v>
      </c>
      <c r="K70">
        <v>1</v>
      </c>
      <c r="L70">
        <v>1.1075711809160209</v>
      </c>
      <c r="M70">
        <v>2.5402577966029138</v>
      </c>
      <c r="N70">
        <v>0</v>
      </c>
    </row>
    <row r="71" spans="9:14" x14ac:dyDescent="0.3">
      <c r="I71">
        <v>68</v>
      </c>
      <c r="J71">
        <v>2.4685962915911448</v>
      </c>
      <c r="K71">
        <v>1</v>
      </c>
      <c r="L71">
        <v>1.031893451186817</v>
      </c>
      <c r="M71">
        <v>3.5004897427779631</v>
      </c>
      <c r="N71">
        <v>0</v>
      </c>
    </row>
    <row r="72" spans="9:14" x14ac:dyDescent="0.3">
      <c r="I72">
        <v>69</v>
      </c>
      <c r="J72">
        <v>1.716292461229513</v>
      </c>
      <c r="K72">
        <v>1</v>
      </c>
      <c r="L72">
        <v>1.6935892607596981</v>
      </c>
      <c r="M72">
        <v>3.409881721989211</v>
      </c>
      <c r="N72">
        <v>0</v>
      </c>
    </row>
    <row r="73" spans="9:14" x14ac:dyDescent="0.3">
      <c r="I73">
        <v>70</v>
      </c>
      <c r="J73">
        <v>1.738957012951434</v>
      </c>
      <c r="K73">
        <v>1</v>
      </c>
      <c r="L73">
        <v>1.8159376231355351</v>
      </c>
      <c r="M73">
        <v>3.5548946360869689</v>
      </c>
      <c r="N73">
        <v>0</v>
      </c>
    </row>
    <row r="74" spans="9:14" x14ac:dyDescent="0.3">
      <c r="I74">
        <v>71</v>
      </c>
      <c r="J74">
        <v>1.9336006043738141</v>
      </c>
      <c r="K74">
        <v>0</v>
      </c>
      <c r="L74">
        <v>0</v>
      </c>
      <c r="M74">
        <v>1.9336006043738141</v>
      </c>
      <c r="N74">
        <v>1</v>
      </c>
    </row>
    <row r="75" spans="9:14" x14ac:dyDescent="0.3">
      <c r="I75">
        <v>72</v>
      </c>
      <c r="J75">
        <v>1.4395324179863209</v>
      </c>
      <c r="K75">
        <v>0</v>
      </c>
      <c r="L75">
        <v>0</v>
      </c>
      <c r="M75">
        <v>1.4395324179863209</v>
      </c>
      <c r="N75">
        <v>1</v>
      </c>
    </row>
    <row r="76" spans="9:14" x14ac:dyDescent="0.3">
      <c r="I76">
        <v>73</v>
      </c>
      <c r="J76">
        <v>1.689909832439429</v>
      </c>
      <c r="K76">
        <v>0</v>
      </c>
      <c r="L76">
        <v>0</v>
      </c>
      <c r="M76">
        <v>1.689909832439429</v>
      </c>
      <c r="N76">
        <v>1</v>
      </c>
    </row>
    <row r="77" spans="9:14" x14ac:dyDescent="0.3">
      <c r="I77">
        <v>74</v>
      </c>
      <c r="J77">
        <v>2.103703944770587</v>
      </c>
      <c r="K77">
        <v>1</v>
      </c>
      <c r="L77">
        <v>1.2180239616657971</v>
      </c>
      <c r="M77">
        <v>3.3217279064363852</v>
      </c>
      <c r="N77">
        <v>0</v>
      </c>
    </row>
    <row r="78" spans="9:14" x14ac:dyDescent="0.3">
      <c r="I78">
        <v>75</v>
      </c>
      <c r="J78">
        <v>1.8824219959775279</v>
      </c>
      <c r="K78">
        <v>1</v>
      </c>
      <c r="L78">
        <v>1.5180441279695229</v>
      </c>
      <c r="M78">
        <v>3.4004661239470511</v>
      </c>
      <c r="N78">
        <v>0</v>
      </c>
    </row>
    <row r="79" spans="9:14" x14ac:dyDescent="0.3">
      <c r="I79">
        <v>76</v>
      </c>
      <c r="J79">
        <v>2.1403467523405282</v>
      </c>
      <c r="K79">
        <v>1</v>
      </c>
      <c r="L79">
        <v>1.682755122322567</v>
      </c>
      <c r="M79">
        <v>3.823101874663096</v>
      </c>
      <c r="N79">
        <v>0</v>
      </c>
    </row>
    <row r="80" spans="9:14" x14ac:dyDescent="0.3">
      <c r="I80">
        <v>77</v>
      </c>
      <c r="J80">
        <v>1.981497981076082</v>
      </c>
      <c r="K80">
        <v>1</v>
      </c>
      <c r="L80">
        <v>1.225591908284098</v>
      </c>
      <c r="M80">
        <v>3.20708988936018</v>
      </c>
      <c r="N80">
        <v>0</v>
      </c>
    </row>
    <row r="81" spans="9:14" x14ac:dyDescent="0.3">
      <c r="I81">
        <v>78</v>
      </c>
      <c r="J81">
        <v>2.0955222901472439</v>
      </c>
      <c r="K81">
        <v>1</v>
      </c>
      <c r="L81">
        <v>1.0286029222484381</v>
      </c>
      <c r="M81">
        <v>3.1241252123956822</v>
      </c>
      <c r="N81">
        <v>0</v>
      </c>
    </row>
    <row r="82" spans="9:14" x14ac:dyDescent="0.3">
      <c r="I82">
        <v>79</v>
      </c>
      <c r="J82">
        <v>1.5886500895521769</v>
      </c>
      <c r="K82">
        <v>0</v>
      </c>
      <c r="L82">
        <v>0</v>
      </c>
      <c r="M82">
        <v>1.5886500895521769</v>
      </c>
      <c r="N82">
        <v>1</v>
      </c>
    </row>
    <row r="83" spans="9:14" x14ac:dyDescent="0.3">
      <c r="I83">
        <v>80</v>
      </c>
      <c r="J83">
        <v>2.2306332326625671</v>
      </c>
      <c r="K83">
        <v>1</v>
      </c>
      <c r="L83">
        <v>1.5549739867788659</v>
      </c>
      <c r="M83">
        <v>3.7856072194414332</v>
      </c>
      <c r="N83">
        <v>0</v>
      </c>
    </row>
    <row r="84" spans="9:14" x14ac:dyDescent="0.3">
      <c r="I84">
        <v>81</v>
      </c>
      <c r="J84">
        <v>1.6244537638234999</v>
      </c>
      <c r="K84">
        <v>0</v>
      </c>
      <c r="L84">
        <v>0</v>
      </c>
      <c r="M84">
        <v>1.6244537638234999</v>
      </c>
      <c r="N84">
        <v>1</v>
      </c>
    </row>
    <row r="85" spans="9:14" x14ac:dyDescent="0.3">
      <c r="I85">
        <v>82</v>
      </c>
      <c r="J85">
        <v>1.675555345165914</v>
      </c>
      <c r="K85">
        <v>1</v>
      </c>
      <c r="L85">
        <v>1.8051830804776541</v>
      </c>
      <c r="M85">
        <v>3.4807384256435681</v>
      </c>
      <c r="N85">
        <v>0</v>
      </c>
    </row>
    <row r="86" spans="9:14" x14ac:dyDescent="0.3">
      <c r="I86">
        <v>83</v>
      </c>
      <c r="J86">
        <v>1.4196991700884429</v>
      </c>
      <c r="K86">
        <v>1</v>
      </c>
      <c r="L86">
        <v>1.2502609878845179</v>
      </c>
      <c r="M86">
        <v>2.669960157972961</v>
      </c>
      <c r="N86">
        <v>0</v>
      </c>
    </row>
    <row r="87" spans="9:14" x14ac:dyDescent="0.3">
      <c r="I87">
        <v>84</v>
      </c>
      <c r="J87">
        <v>1.661746649482204</v>
      </c>
      <c r="K87">
        <v>0</v>
      </c>
      <c r="L87">
        <v>0</v>
      </c>
      <c r="M87">
        <v>1.661746649482204</v>
      </c>
      <c r="N87">
        <v>1</v>
      </c>
    </row>
    <row r="88" spans="9:14" x14ac:dyDescent="0.3">
      <c r="I88">
        <v>85</v>
      </c>
      <c r="J88">
        <v>2.6744024758006062</v>
      </c>
      <c r="K88">
        <v>0</v>
      </c>
      <c r="L88">
        <v>0</v>
      </c>
      <c r="M88">
        <v>2.6744024758006062</v>
      </c>
      <c r="N88">
        <v>0</v>
      </c>
    </row>
    <row r="89" spans="9:14" x14ac:dyDescent="0.3">
      <c r="I89">
        <v>86</v>
      </c>
      <c r="J89">
        <v>1.5762851699913769</v>
      </c>
      <c r="K89">
        <v>1</v>
      </c>
      <c r="L89">
        <v>1.8438770557625379</v>
      </c>
      <c r="M89">
        <v>3.420162225753915</v>
      </c>
      <c r="N89">
        <v>0</v>
      </c>
    </row>
    <row r="90" spans="9:14" x14ac:dyDescent="0.3">
      <c r="I90">
        <v>87</v>
      </c>
      <c r="J90">
        <v>1.9435549279876809</v>
      </c>
      <c r="K90">
        <v>0</v>
      </c>
      <c r="L90">
        <v>0</v>
      </c>
      <c r="M90">
        <v>1.9435549279876809</v>
      </c>
      <c r="N90">
        <v>1</v>
      </c>
    </row>
    <row r="91" spans="9:14" x14ac:dyDescent="0.3">
      <c r="I91">
        <v>88</v>
      </c>
      <c r="J91">
        <v>2.4695710615366502</v>
      </c>
      <c r="K91">
        <v>0</v>
      </c>
      <c r="L91">
        <v>0</v>
      </c>
      <c r="M91">
        <v>2.4695710615366502</v>
      </c>
      <c r="N91">
        <v>0</v>
      </c>
    </row>
    <row r="92" spans="9:14" x14ac:dyDescent="0.3">
      <c r="I92">
        <v>89</v>
      </c>
      <c r="J92">
        <v>2.1481454587328028</v>
      </c>
      <c r="K92">
        <v>1</v>
      </c>
      <c r="L92">
        <v>1.6784396087804541</v>
      </c>
      <c r="M92">
        <v>3.8265850675132569</v>
      </c>
      <c r="N92">
        <v>0</v>
      </c>
    </row>
    <row r="93" spans="9:14" x14ac:dyDescent="0.3">
      <c r="I93">
        <v>90</v>
      </c>
      <c r="J93">
        <v>2.1033046462874418</v>
      </c>
      <c r="K93">
        <v>0</v>
      </c>
      <c r="L93">
        <v>0</v>
      </c>
      <c r="M93">
        <v>2.1033046462874418</v>
      </c>
      <c r="N93">
        <v>0</v>
      </c>
    </row>
    <row r="94" spans="9:14" x14ac:dyDescent="0.3">
      <c r="I94">
        <v>91</v>
      </c>
      <c r="J94">
        <v>2.3809660224931699</v>
      </c>
      <c r="K94">
        <v>0</v>
      </c>
      <c r="L94">
        <v>0</v>
      </c>
      <c r="M94">
        <v>2.3809660224931699</v>
      </c>
      <c r="N94">
        <v>0</v>
      </c>
    </row>
    <row r="95" spans="9:14" x14ac:dyDescent="0.3">
      <c r="I95">
        <v>92</v>
      </c>
      <c r="J95">
        <v>2.114168789959479</v>
      </c>
      <c r="K95">
        <v>0</v>
      </c>
      <c r="L95">
        <v>0</v>
      </c>
      <c r="M95">
        <v>2.114168789959479</v>
      </c>
      <c r="N95">
        <v>0</v>
      </c>
    </row>
    <row r="96" spans="9:14" x14ac:dyDescent="0.3">
      <c r="I96">
        <v>93</v>
      </c>
      <c r="J96">
        <v>2.2874549265421669</v>
      </c>
      <c r="K96">
        <v>1</v>
      </c>
      <c r="L96">
        <v>1.6505364908814979</v>
      </c>
      <c r="M96">
        <v>3.9379914174236652</v>
      </c>
      <c r="N96">
        <v>0</v>
      </c>
    </row>
    <row r="97" spans="9:14" x14ac:dyDescent="0.3">
      <c r="I97">
        <v>94</v>
      </c>
      <c r="J97">
        <v>1.7143659306099741</v>
      </c>
      <c r="K97">
        <v>0</v>
      </c>
      <c r="L97">
        <v>0</v>
      </c>
      <c r="M97">
        <v>1.7143659306099741</v>
      </c>
      <c r="N97">
        <v>1</v>
      </c>
    </row>
    <row r="98" spans="9:14" x14ac:dyDescent="0.3">
      <c r="I98">
        <v>95</v>
      </c>
      <c r="J98">
        <v>2.1495224179512462</v>
      </c>
      <c r="K98">
        <v>1</v>
      </c>
      <c r="L98">
        <v>1.915258755339738</v>
      </c>
      <c r="M98">
        <v>4.0647811732909842</v>
      </c>
      <c r="N98">
        <v>0</v>
      </c>
    </row>
    <row r="99" spans="9:14" x14ac:dyDescent="0.3">
      <c r="I99">
        <v>96</v>
      </c>
      <c r="J99">
        <v>1.615185976772423</v>
      </c>
      <c r="K99">
        <v>1</v>
      </c>
      <c r="L99">
        <v>1.183398948684212</v>
      </c>
      <c r="M99">
        <v>2.7985849254566362</v>
      </c>
      <c r="N99">
        <v>0</v>
      </c>
    </row>
    <row r="100" spans="9:14" x14ac:dyDescent="0.3">
      <c r="I100">
        <v>97</v>
      </c>
      <c r="J100">
        <v>2.3547197391593659</v>
      </c>
      <c r="K100">
        <v>1</v>
      </c>
      <c r="L100">
        <v>1.9110880589535419</v>
      </c>
      <c r="M100">
        <v>4.2658077981129079</v>
      </c>
      <c r="N100">
        <v>0</v>
      </c>
    </row>
    <row r="101" spans="9:14" x14ac:dyDescent="0.3">
      <c r="I101">
        <v>98</v>
      </c>
      <c r="J101">
        <v>2.0020700797926421</v>
      </c>
      <c r="K101">
        <v>0</v>
      </c>
      <c r="L101">
        <v>0</v>
      </c>
      <c r="M101">
        <v>2.0020700797926421</v>
      </c>
      <c r="N101">
        <v>0</v>
      </c>
    </row>
    <row r="102" spans="9:14" x14ac:dyDescent="0.3">
      <c r="I102">
        <v>99</v>
      </c>
      <c r="J102">
        <v>1.515013596162561</v>
      </c>
      <c r="K102">
        <v>0</v>
      </c>
      <c r="L102">
        <v>0</v>
      </c>
      <c r="M102">
        <v>1.515013596162561</v>
      </c>
      <c r="N102">
        <v>1</v>
      </c>
    </row>
    <row r="103" spans="9:14" x14ac:dyDescent="0.3">
      <c r="I103">
        <v>100</v>
      </c>
      <c r="J103">
        <v>1.983766419361364</v>
      </c>
      <c r="K103">
        <v>1</v>
      </c>
      <c r="L103">
        <v>1.1085177160924751</v>
      </c>
      <c r="M103">
        <v>3.0922841354538391</v>
      </c>
      <c r="N103">
        <v>0</v>
      </c>
    </row>
    <row r="104" spans="9:14" x14ac:dyDescent="0.3">
      <c r="I104">
        <v>101</v>
      </c>
      <c r="J104">
        <v>2.3415280842448332</v>
      </c>
      <c r="K104">
        <v>1</v>
      </c>
      <c r="L104">
        <v>1.2232471615484</v>
      </c>
      <c r="M104">
        <v>3.5647752457932329</v>
      </c>
      <c r="N104">
        <v>0</v>
      </c>
    </row>
    <row r="105" spans="9:14" x14ac:dyDescent="0.3">
      <c r="I105">
        <v>102</v>
      </c>
      <c r="J105">
        <v>2.1808295716824171</v>
      </c>
      <c r="K105">
        <v>0</v>
      </c>
      <c r="L105">
        <v>0</v>
      </c>
      <c r="M105">
        <v>2.1808295716824171</v>
      </c>
      <c r="N105">
        <v>0</v>
      </c>
    </row>
    <row r="106" spans="9:14" x14ac:dyDescent="0.3">
      <c r="I106">
        <v>103</v>
      </c>
      <c r="J106">
        <v>1.7464734299232449</v>
      </c>
      <c r="K106">
        <v>0</v>
      </c>
      <c r="L106">
        <v>0</v>
      </c>
      <c r="M106">
        <v>1.7464734299232449</v>
      </c>
      <c r="N106">
        <v>1</v>
      </c>
    </row>
    <row r="107" spans="9:14" x14ac:dyDescent="0.3">
      <c r="I107">
        <v>104</v>
      </c>
      <c r="J107">
        <v>1.962381422998551</v>
      </c>
      <c r="K107">
        <v>1</v>
      </c>
      <c r="L107">
        <v>1.388256922972563</v>
      </c>
      <c r="M107">
        <v>3.350638345971114</v>
      </c>
      <c r="N107">
        <v>0</v>
      </c>
    </row>
    <row r="108" spans="9:14" x14ac:dyDescent="0.3">
      <c r="I108">
        <v>105</v>
      </c>
      <c r="J108">
        <v>2.1450642117810821</v>
      </c>
      <c r="K108">
        <v>1</v>
      </c>
      <c r="L108">
        <v>1.408460098984091</v>
      </c>
      <c r="M108">
        <v>3.5535243107651731</v>
      </c>
      <c r="N108">
        <v>0</v>
      </c>
    </row>
    <row r="109" spans="9:14" x14ac:dyDescent="0.3">
      <c r="I109">
        <v>106</v>
      </c>
      <c r="J109">
        <v>1.5708886950972041</v>
      </c>
      <c r="K109">
        <v>1</v>
      </c>
      <c r="L109">
        <v>1.7516486591406519</v>
      </c>
      <c r="M109">
        <v>3.322537354237856</v>
      </c>
      <c r="N109">
        <v>0</v>
      </c>
    </row>
    <row r="110" spans="9:14" x14ac:dyDescent="0.3">
      <c r="I110">
        <v>107</v>
      </c>
      <c r="J110">
        <v>2.076245527855852</v>
      </c>
      <c r="K110">
        <v>1</v>
      </c>
      <c r="L110">
        <v>1.0442176795509861</v>
      </c>
      <c r="M110">
        <v>3.1204632074068379</v>
      </c>
      <c r="N110">
        <v>0</v>
      </c>
    </row>
    <row r="111" spans="9:14" x14ac:dyDescent="0.3">
      <c r="I111">
        <v>108</v>
      </c>
      <c r="J111">
        <v>2.3572090796763439</v>
      </c>
      <c r="K111">
        <v>1</v>
      </c>
      <c r="L111">
        <v>1.497061200124397</v>
      </c>
      <c r="M111">
        <v>3.8542702798007409</v>
      </c>
      <c r="N111">
        <v>0</v>
      </c>
    </row>
    <row r="112" spans="9:14" x14ac:dyDescent="0.3">
      <c r="I112">
        <v>109</v>
      </c>
      <c r="J112">
        <v>2.533730432971431</v>
      </c>
      <c r="K112">
        <v>0</v>
      </c>
      <c r="L112">
        <v>0</v>
      </c>
      <c r="M112">
        <v>2.533730432971431</v>
      </c>
      <c r="N112">
        <v>0</v>
      </c>
    </row>
    <row r="113" spans="9:14" x14ac:dyDescent="0.3">
      <c r="I113">
        <v>110</v>
      </c>
      <c r="J113">
        <v>1.819256281141701</v>
      </c>
      <c r="K113">
        <v>0</v>
      </c>
      <c r="L113">
        <v>0</v>
      </c>
      <c r="M113">
        <v>1.819256281141701</v>
      </c>
      <c r="N113">
        <v>1</v>
      </c>
    </row>
    <row r="114" spans="9:14" x14ac:dyDescent="0.3">
      <c r="I114">
        <v>111</v>
      </c>
      <c r="J114">
        <v>1.524163152142805</v>
      </c>
      <c r="K114">
        <v>1</v>
      </c>
      <c r="L114">
        <v>1.6599267540794991</v>
      </c>
      <c r="M114">
        <v>3.184089906222304</v>
      </c>
      <c r="N114">
        <v>0</v>
      </c>
    </row>
    <row r="115" spans="9:14" x14ac:dyDescent="0.3">
      <c r="I115">
        <v>112</v>
      </c>
      <c r="J115">
        <v>1.4413227419170631</v>
      </c>
      <c r="K115">
        <v>0</v>
      </c>
      <c r="L115">
        <v>0</v>
      </c>
      <c r="M115">
        <v>1.4413227419170631</v>
      </c>
      <c r="N115">
        <v>1</v>
      </c>
    </row>
    <row r="116" spans="9:14" x14ac:dyDescent="0.3">
      <c r="I116">
        <v>113</v>
      </c>
      <c r="J116">
        <v>1.8334375364607469</v>
      </c>
      <c r="K116">
        <v>1</v>
      </c>
      <c r="L116">
        <v>1.4515521880140221</v>
      </c>
      <c r="M116">
        <v>3.284989724474769</v>
      </c>
      <c r="N116">
        <v>0</v>
      </c>
    </row>
    <row r="117" spans="9:14" x14ac:dyDescent="0.3">
      <c r="I117">
        <v>114</v>
      </c>
      <c r="J117">
        <v>1.953901995218315</v>
      </c>
      <c r="K117">
        <v>0</v>
      </c>
      <c r="L117">
        <v>0</v>
      </c>
      <c r="M117">
        <v>1.953901995218315</v>
      </c>
      <c r="N117">
        <v>1</v>
      </c>
    </row>
    <row r="118" spans="9:14" x14ac:dyDescent="0.3">
      <c r="I118">
        <v>115</v>
      </c>
      <c r="J118">
        <v>2.872438621640812</v>
      </c>
      <c r="K118">
        <v>0</v>
      </c>
      <c r="L118">
        <v>0</v>
      </c>
      <c r="M118">
        <v>2.872438621640812</v>
      </c>
      <c r="N118">
        <v>0</v>
      </c>
    </row>
    <row r="119" spans="9:14" x14ac:dyDescent="0.3">
      <c r="I119">
        <v>116</v>
      </c>
      <c r="J119">
        <v>2.087719889490574</v>
      </c>
      <c r="K119">
        <v>0</v>
      </c>
      <c r="L119">
        <v>0</v>
      </c>
      <c r="M119">
        <v>2.087719889490574</v>
      </c>
      <c r="N119">
        <v>0</v>
      </c>
    </row>
    <row r="120" spans="9:14" x14ac:dyDescent="0.3">
      <c r="I120">
        <v>117</v>
      </c>
      <c r="J120">
        <v>2.4344554902587432</v>
      </c>
      <c r="K120">
        <v>1</v>
      </c>
      <c r="L120">
        <v>1.3058204923407859</v>
      </c>
      <c r="M120">
        <v>3.7402759825995289</v>
      </c>
      <c r="N120">
        <v>0</v>
      </c>
    </row>
    <row r="121" spans="9:14" x14ac:dyDescent="0.3">
      <c r="I121">
        <v>118</v>
      </c>
      <c r="J121">
        <v>2.4025951092108748</v>
      </c>
      <c r="K121">
        <v>0</v>
      </c>
      <c r="L121">
        <v>0</v>
      </c>
      <c r="M121">
        <v>2.4025951092108748</v>
      </c>
      <c r="N121">
        <v>0</v>
      </c>
    </row>
    <row r="122" spans="9:14" x14ac:dyDescent="0.3">
      <c r="I122">
        <v>119</v>
      </c>
      <c r="J122">
        <v>2.5214031221960038</v>
      </c>
      <c r="K122">
        <v>0</v>
      </c>
      <c r="L122">
        <v>0</v>
      </c>
      <c r="M122">
        <v>2.5214031221960038</v>
      </c>
      <c r="N122">
        <v>0</v>
      </c>
    </row>
    <row r="123" spans="9:14" x14ac:dyDescent="0.3">
      <c r="I123">
        <v>120</v>
      </c>
      <c r="J123">
        <v>1.4146695322156759</v>
      </c>
      <c r="K123">
        <v>0</v>
      </c>
      <c r="L123">
        <v>0</v>
      </c>
      <c r="M123">
        <v>1.4146695322156759</v>
      </c>
      <c r="N123">
        <v>1</v>
      </c>
    </row>
    <row r="124" spans="9:14" x14ac:dyDescent="0.3">
      <c r="I124">
        <v>121</v>
      </c>
      <c r="J124">
        <v>2.330966902776384</v>
      </c>
      <c r="K124">
        <v>0</v>
      </c>
      <c r="L124">
        <v>0</v>
      </c>
      <c r="M124">
        <v>2.330966902776384</v>
      </c>
      <c r="N124">
        <v>0</v>
      </c>
    </row>
    <row r="125" spans="9:14" x14ac:dyDescent="0.3">
      <c r="I125">
        <v>122</v>
      </c>
      <c r="J125">
        <v>1.6444570893430059</v>
      </c>
      <c r="K125">
        <v>0</v>
      </c>
      <c r="L125">
        <v>0</v>
      </c>
      <c r="M125">
        <v>1.6444570893430059</v>
      </c>
      <c r="N125">
        <v>1</v>
      </c>
    </row>
    <row r="126" spans="9:14" x14ac:dyDescent="0.3">
      <c r="I126">
        <v>123</v>
      </c>
      <c r="J126">
        <v>2.867887090930259</v>
      </c>
      <c r="K126">
        <v>0</v>
      </c>
      <c r="L126">
        <v>0</v>
      </c>
      <c r="M126">
        <v>2.867887090930259</v>
      </c>
      <c r="N126">
        <v>0</v>
      </c>
    </row>
    <row r="127" spans="9:14" x14ac:dyDescent="0.3">
      <c r="I127">
        <v>124</v>
      </c>
      <c r="J127">
        <v>2.017915475838338</v>
      </c>
      <c r="K127">
        <v>0</v>
      </c>
      <c r="L127">
        <v>0</v>
      </c>
      <c r="M127">
        <v>2.017915475838338</v>
      </c>
      <c r="N127">
        <v>0</v>
      </c>
    </row>
    <row r="128" spans="9:14" x14ac:dyDescent="0.3">
      <c r="I128">
        <v>125</v>
      </c>
      <c r="J128">
        <v>1.9631634518501511</v>
      </c>
      <c r="K128">
        <v>1</v>
      </c>
      <c r="L128">
        <v>1.857493716049905</v>
      </c>
      <c r="M128">
        <v>3.8206571679000558</v>
      </c>
      <c r="N128">
        <v>0</v>
      </c>
    </row>
    <row r="129" spans="9:14" x14ac:dyDescent="0.3">
      <c r="I129">
        <v>126</v>
      </c>
      <c r="J129">
        <v>2.2553792336872971</v>
      </c>
      <c r="K129">
        <v>0</v>
      </c>
      <c r="L129">
        <v>0</v>
      </c>
      <c r="M129">
        <v>2.2553792336872971</v>
      </c>
      <c r="N129">
        <v>0</v>
      </c>
    </row>
    <row r="130" spans="9:14" x14ac:dyDescent="0.3">
      <c r="I130">
        <v>127</v>
      </c>
      <c r="J130">
        <v>1.9740054865624601</v>
      </c>
      <c r="K130">
        <v>1</v>
      </c>
      <c r="L130">
        <v>1.6692070844937501</v>
      </c>
      <c r="M130">
        <v>3.64321257105621</v>
      </c>
      <c r="N130">
        <v>0</v>
      </c>
    </row>
    <row r="131" spans="9:14" x14ac:dyDescent="0.3">
      <c r="I131">
        <v>128</v>
      </c>
      <c r="J131">
        <v>2.2744295193098041</v>
      </c>
      <c r="K131">
        <v>1</v>
      </c>
      <c r="L131">
        <v>1.743223507098276</v>
      </c>
      <c r="M131">
        <v>4.0176530264080794</v>
      </c>
      <c r="N131">
        <v>0</v>
      </c>
    </row>
    <row r="132" spans="9:14" x14ac:dyDescent="0.3">
      <c r="I132">
        <v>129</v>
      </c>
      <c r="J132">
        <v>2.1026103753227789</v>
      </c>
      <c r="K132">
        <v>1</v>
      </c>
      <c r="L132">
        <v>1.1334068158651831</v>
      </c>
      <c r="M132">
        <v>3.2360171911879618</v>
      </c>
      <c r="N132">
        <v>0</v>
      </c>
    </row>
    <row r="133" spans="9:14" x14ac:dyDescent="0.3">
      <c r="I133">
        <v>130</v>
      </c>
      <c r="J133">
        <v>1.773328362353523</v>
      </c>
      <c r="K133">
        <v>0</v>
      </c>
      <c r="L133">
        <v>0</v>
      </c>
      <c r="M133">
        <v>1.773328362353523</v>
      </c>
      <c r="N133">
        <v>1</v>
      </c>
    </row>
    <row r="134" spans="9:14" x14ac:dyDescent="0.3">
      <c r="I134">
        <v>131</v>
      </c>
      <c r="J134">
        <v>2.0759487047626819</v>
      </c>
      <c r="K134">
        <v>0</v>
      </c>
      <c r="L134">
        <v>0</v>
      </c>
      <c r="M134">
        <v>2.0759487047626819</v>
      </c>
      <c r="N134">
        <v>0</v>
      </c>
    </row>
    <row r="135" spans="9:14" x14ac:dyDescent="0.3">
      <c r="I135">
        <v>132</v>
      </c>
      <c r="J135">
        <v>1.7734715174904729</v>
      </c>
      <c r="K135">
        <v>0</v>
      </c>
      <c r="L135">
        <v>0</v>
      </c>
      <c r="M135">
        <v>1.7734715174904729</v>
      </c>
      <c r="N135">
        <v>1</v>
      </c>
    </row>
    <row r="136" spans="9:14" x14ac:dyDescent="0.3">
      <c r="I136">
        <v>133</v>
      </c>
      <c r="J136">
        <v>1.2073518222461019</v>
      </c>
      <c r="K136">
        <v>1</v>
      </c>
      <c r="L136">
        <v>1.438519321875309</v>
      </c>
      <c r="M136">
        <v>2.6458711441214109</v>
      </c>
      <c r="N136">
        <v>0</v>
      </c>
    </row>
    <row r="137" spans="9:14" x14ac:dyDescent="0.3">
      <c r="I137">
        <v>134</v>
      </c>
      <c r="J137">
        <v>2.4208585326888721</v>
      </c>
      <c r="K137">
        <v>1</v>
      </c>
      <c r="L137">
        <v>1.663766205462565</v>
      </c>
      <c r="M137">
        <v>4.0846247381514367</v>
      </c>
      <c r="N137">
        <v>0</v>
      </c>
    </row>
    <row r="138" spans="9:14" x14ac:dyDescent="0.3">
      <c r="I138">
        <v>135</v>
      </c>
      <c r="J138">
        <v>1.6587869878636969</v>
      </c>
      <c r="K138">
        <v>1</v>
      </c>
      <c r="L138">
        <v>1.9320044739312221</v>
      </c>
      <c r="M138">
        <v>3.590791461794919</v>
      </c>
      <c r="N138">
        <v>0</v>
      </c>
    </row>
    <row r="139" spans="9:14" x14ac:dyDescent="0.3">
      <c r="I139">
        <v>136</v>
      </c>
      <c r="J139">
        <v>2.1408399903622541</v>
      </c>
      <c r="K139">
        <v>0</v>
      </c>
      <c r="L139">
        <v>0</v>
      </c>
      <c r="M139">
        <v>2.1408399903622541</v>
      </c>
      <c r="N139">
        <v>0</v>
      </c>
    </row>
    <row r="140" spans="9:14" x14ac:dyDescent="0.3">
      <c r="I140">
        <v>137</v>
      </c>
      <c r="J140">
        <v>1.631436115929114</v>
      </c>
      <c r="K140">
        <v>1</v>
      </c>
      <c r="L140">
        <v>1.4198513888723481</v>
      </c>
      <c r="M140">
        <v>3.0512875048014609</v>
      </c>
      <c r="N140">
        <v>0</v>
      </c>
    </row>
    <row r="141" spans="9:14" x14ac:dyDescent="0.3">
      <c r="I141">
        <v>138</v>
      </c>
      <c r="J141">
        <v>2.1443682936333759</v>
      </c>
      <c r="K141">
        <v>0</v>
      </c>
      <c r="L141">
        <v>0</v>
      </c>
      <c r="M141">
        <v>2.1443682936333759</v>
      </c>
      <c r="N141">
        <v>0</v>
      </c>
    </row>
    <row r="142" spans="9:14" x14ac:dyDescent="0.3">
      <c r="I142">
        <v>139</v>
      </c>
      <c r="J142">
        <v>1.729762175474725</v>
      </c>
      <c r="K142">
        <v>1</v>
      </c>
      <c r="L142">
        <v>1.9563874360885609</v>
      </c>
      <c r="M142">
        <v>3.6861496115632861</v>
      </c>
      <c r="N142">
        <v>0</v>
      </c>
    </row>
    <row r="143" spans="9:14" x14ac:dyDescent="0.3">
      <c r="I143">
        <v>140</v>
      </c>
      <c r="J143">
        <v>2.480113355037799</v>
      </c>
      <c r="K143">
        <v>1</v>
      </c>
      <c r="L143">
        <v>1.739865628616545</v>
      </c>
      <c r="M143">
        <v>4.2199789836543449</v>
      </c>
      <c r="N143">
        <v>0</v>
      </c>
    </row>
    <row r="144" spans="9:14" x14ac:dyDescent="0.3">
      <c r="I144">
        <v>141</v>
      </c>
      <c r="J144">
        <v>2.1118061206608649</v>
      </c>
      <c r="K144">
        <v>1</v>
      </c>
      <c r="L144">
        <v>1.296105635994617</v>
      </c>
      <c r="M144">
        <v>3.4079117566554831</v>
      </c>
      <c r="N144">
        <v>0</v>
      </c>
    </row>
    <row r="145" spans="9:14" x14ac:dyDescent="0.3">
      <c r="I145">
        <v>142</v>
      </c>
      <c r="J145">
        <v>2.0942256187125161</v>
      </c>
      <c r="K145">
        <v>1</v>
      </c>
      <c r="L145">
        <v>1.5955016898464129</v>
      </c>
      <c r="M145">
        <v>3.6897273085589291</v>
      </c>
      <c r="N145">
        <v>0</v>
      </c>
    </row>
    <row r="146" spans="9:14" x14ac:dyDescent="0.3">
      <c r="I146">
        <v>143</v>
      </c>
      <c r="J146">
        <v>2.3018008053354282</v>
      </c>
      <c r="K146">
        <v>1</v>
      </c>
      <c r="L146">
        <v>1.8746574501312441</v>
      </c>
      <c r="M146">
        <v>4.176458255466672</v>
      </c>
      <c r="N146">
        <v>0</v>
      </c>
    </row>
    <row r="147" spans="9:14" x14ac:dyDescent="0.3">
      <c r="I147">
        <v>144</v>
      </c>
      <c r="J147">
        <v>2.33234564599092</v>
      </c>
      <c r="K147">
        <v>0</v>
      </c>
      <c r="L147">
        <v>0</v>
      </c>
      <c r="M147">
        <v>2.33234564599092</v>
      </c>
      <c r="N147">
        <v>0</v>
      </c>
    </row>
    <row r="148" spans="9:14" x14ac:dyDescent="0.3">
      <c r="I148">
        <v>145</v>
      </c>
      <c r="J148">
        <v>1.524964413923892</v>
      </c>
      <c r="K148">
        <v>0</v>
      </c>
      <c r="L148">
        <v>0</v>
      </c>
      <c r="M148">
        <v>1.524964413923892</v>
      </c>
      <c r="N148">
        <v>1</v>
      </c>
    </row>
    <row r="149" spans="9:14" x14ac:dyDescent="0.3">
      <c r="I149">
        <v>146</v>
      </c>
      <c r="J149">
        <v>1.753852745431286</v>
      </c>
      <c r="K149">
        <v>0</v>
      </c>
      <c r="L149">
        <v>0</v>
      </c>
      <c r="M149">
        <v>1.753852745431286</v>
      </c>
      <c r="N149">
        <v>1</v>
      </c>
    </row>
    <row r="150" spans="9:14" x14ac:dyDescent="0.3">
      <c r="I150">
        <v>147</v>
      </c>
      <c r="J150">
        <v>1.630344461827705</v>
      </c>
      <c r="K150">
        <v>1</v>
      </c>
      <c r="L150">
        <v>1.817416903980057</v>
      </c>
      <c r="M150">
        <v>3.4477613658077622</v>
      </c>
      <c r="N150">
        <v>0</v>
      </c>
    </row>
    <row r="151" spans="9:14" x14ac:dyDescent="0.3">
      <c r="I151">
        <v>148</v>
      </c>
      <c r="J151">
        <v>2.273188030345541</v>
      </c>
      <c r="K151">
        <v>1</v>
      </c>
      <c r="L151">
        <v>1.1105007427274129</v>
      </c>
      <c r="M151">
        <v>3.383688773072953</v>
      </c>
      <c r="N151">
        <v>0</v>
      </c>
    </row>
    <row r="152" spans="9:14" x14ac:dyDescent="0.3">
      <c r="I152">
        <v>149</v>
      </c>
      <c r="J152">
        <v>1.8890655002773811</v>
      </c>
      <c r="K152">
        <v>0</v>
      </c>
      <c r="L152">
        <v>0</v>
      </c>
      <c r="M152">
        <v>1.8890655002773811</v>
      </c>
      <c r="N152">
        <v>1</v>
      </c>
    </row>
    <row r="153" spans="9:14" x14ac:dyDescent="0.3">
      <c r="I153">
        <v>150</v>
      </c>
      <c r="J153">
        <v>1.4192007431758309</v>
      </c>
      <c r="K153">
        <v>0</v>
      </c>
      <c r="L153">
        <v>0</v>
      </c>
      <c r="M153">
        <v>1.4192007431758309</v>
      </c>
      <c r="N153">
        <v>1</v>
      </c>
    </row>
    <row r="154" spans="9:14" x14ac:dyDescent="0.3">
      <c r="I154">
        <v>151</v>
      </c>
      <c r="J154">
        <v>1.1770012128723519</v>
      </c>
      <c r="K154">
        <v>1</v>
      </c>
      <c r="L154">
        <v>1.84438820233728</v>
      </c>
      <c r="M154">
        <v>3.0213894152096321</v>
      </c>
      <c r="N154">
        <v>0</v>
      </c>
    </row>
    <row r="155" spans="9:14" x14ac:dyDescent="0.3">
      <c r="I155">
        <v>152</v>
      </c>
      <c r="J155">
        <v>1.366970379572789</v>
      </c>
      <c r="K155">
        <v>0</v>
      </c>
      <c r="L155">
        <v>0</v>
      </c>
      <c r="M155">
        <v>1.366970379572789</v>
      </c>
      <c r="N155">
        <v>1</v>
      </c>
    </row>
    <row r="156" spans="9:14" x14ac:dyDescent="0.3">
      <c r="I156">
        <v>153</v>
      </c>
      <c r="J156">
        <v>1.5142634248407461</v>
      </c>
      <c r="K156">
        <v>1</v>
      </c>
      <c r="L156">
        <v>1.3653076084134279</v>
      </c>
      <c r="M156">
        <v>2.8795710332541748</v>
      </c>
      <c r="N156">
        <v>0</v>
      </c>
    </row>
    <row r="157" spans="9:14" x14ac:dyDescent="0.3">
      <c r="I157">
        <v>154</v>
      </c>
      <c r="J157">
        <v>2.4454004145723172</v>
      </c>
      <c r="K157">
        <v>1</v>
      </c>
      <c r="L157">
        <v>1.3239299782943339</v>
      </c>
      <c r="M157">
        <v>3.7693303928666508</v>
      </c>
      <c r="N157">
        <v>0</v>
      </c>
    </row>
    <row r="158" spans="9:14" x14ac:dyDescent="0.3">
      <c r="I158">
        <v>155</v>
      </c>
      <c r="J158">
        <v>1.878216881338145</v>
      </c>
      <c r="K158">
        <v>0</v>
      </c>
      <c r="L158">
        <v>0</v>
      </c>
      <c r="M158">
        <v>1.878216881338145</v>
      </c>
      <c r="N158">
        <v>1</v>
      </c>
    </row>
    <row r="159" spans="9:14" x14ac:dyDescent="0.3">
      <c r="I159">
        <v>156</v>
      </c>
      <c r="J159">
        <v>1.58943024012419</v>
      </c>
      <c r="K159">
        <v>0</v>
      </c>
      <c r="L159">
        <v>0</v>
      </c>
      <c r="M159">
        <v>1.58943024012419</v>
      </c>
      <c r="N159">
        <v>1</v>
      </c>
    </row>
    <row r="160" spans="9:14" x14ac:dyDescent="0.3">
      <c r="I160">
        <v>157</v>
      </c>
      <c r="J160">
        <v>1.7301659901618529</v>
      </c>
      <c r="K160">
        <v>0</v>
      </c>
      <c r="L160">
        <v>0</v>
      </c>
      <c r="M160">
        <v>1.7301659901618529</v>
      </c>
      <c r="N160">
        <v>1</v>
      </c>
    </row>
    <row r="161" spans="9:14" x14ac:dyDescent="0.3">
      <c r="I161">
        <v>158</v>
      </c>
      <c r="J161">
        <v>1.9268592074289681</v>
      </c>
      <c r="K161">
        <v>1</v>
      </c>
      <c r="L161">
        <v>1.91316140294689</v>
      </c>
      <c r="M161">
        <v>3.840020610375857</v>
      </c>
      <c r="N161">
        <v>0</v>
      </c>
    </row>
    <row r="162" spans="9:14" x14ac:dyDescent="0.3">
      <c r="I162">
        <v>159</v>
      </c>
      <c r="J162">
        <v>1.8552811086586649</v>
      </c>
      <c r="K162">
        <v>0</v>
      </c>
      <c r="L162">
        <v>0</v>
      </c>
      <c r="M162">
        <v>1.8552811086586649</v>
      </c>
      <c r="N162">
        <v>1</v>
      </c>
    </row>
    <row r="163" spans="9:14" x14ac:dyDescent="0.3">
      <c r="I163">
        <v>160</v>
      </c>
      <c r="J163">
        <v>1.577058668555309</v>
      </c>
      <c r="K163">
        <v>0</v>
      </c>
      <c r="L163">
        <v>0</v>
      </c>
      <c r="M163">
        <v>1.577058668555309</v>
      </c>
      <c r="N163">
        <v>1</v>
      </c>
    </row>
    <row r="164" spans="9:14" x14ac:dyDescent="0.3">
      <c r="I164">
        <v>161</v>
      </c>
      <c r="J164">
        <v>1.955390202165125</v>
      </c>
      <c r="K164">
        <v>0</v>
      </c>
      <c r="L164">
        <v>0</v>
      </c>
      <c r="M164">
        <v>1.955390202165125</v>
      </c>
      <c r="N164">
        <v>1</v>
      </c>
    </row>
    <row r="165" spans="9:14" x14ac:dyDescent="0.3">
      <c r="I165">
        <v>162</v>
      </c>
      <c r="J165">
        <v>1.8548197674579949</v>
      </c>
      <c r="K165">
        <v>1</v>
      </c>
      <c r="L165">
        <v>1.3875120327759931</v>
      </c>
      <c r="M165">
        <v>3.242331800233988</v>
      </c>
      <c r="N165">
        <v>0</v>
      </c>
    </row>
    <row r="166" spans="9:14" x14ac:dyDescent="0.3">
      <c r="I166">
        <v>163</v>
      </c>
      <c r="J166">
        <v>1.631993802139174</v>
      </c>
      <c r="K166">
        <v>0</v>
      </c>
      <c r="L166">
        <v>0</v>
      </c>
      <c r="M166">
        <v>1.631993802139174</v>
      </c>
      <c r="N166">
        <v>1</v>
      </c>
    </row>
    <row r="167" spans="9:14" x14ac:dyDescent="0.3">
      <c r="I167">
        <v>164</v>
      </c>
      <c r="J167">
        <v>2.427041742202114</v>
      </c>
      <c r="K167">
        <v>1</v>
      </c>
      <c r="L167">
        <v>1.662854780643179</v>
      </c>
      <c r="M167">
        <v>4.0898965228452928</v>
      </c>
      <c r="N167">
        <v>0</v>
      </c>
    </row>
    <row r="168" spans="9:14" x14ac:dyDescent="0.3">
      <c r="I168">
        <v>165</v>
      </c>
      <c r="J168">
        <v>2.6515527061185011</v>
      </c>
      <c r="K168">
        <v>0</v>
      </c>
      <c r="L168">
        <v>0</v>
      </c>
      <c r="M168">
        <v>2.6515527061185011</v>
      </c>
      <c r="N168">
        <v>0</v>
      </c>
    </row>
    <row r="169" spans="9:14" x14ac:dyDescent="0.3">
      <c r="I169">
        <v>166</v>
      </c>
      <c r="J169">
        <v>1.4469527058997429</v>
      </c>
      <c r="K169">
        <v>0</v>
      </c>
      <c r="L169">
        <v>0</v>
      </c>
      <c r="M169">
        <v>1.4469527058997429</v>
      </c>
      <c r="N169">
        <v>1</v>
      </c>
    </row>
    <row r="170" spans="9:14" x14ac:dyDescent="0.3">
      <c r="I170">
        <v>167</v>
      </c>
      <c r="J170">
        <v>2.2347104413965209</v>
      </c>
      <c r="K170">
        <v>1</v>
      </c>
      <c r="L170">
        <v>1.425881982703374</v>
      </c>
      <c r="M170">
        <v>3.660592424099895</v>
      </c>
      <c r="N170">
        <v>0</v>
      </c>
    </row>
    <row r="171" spans="9:14" x14ac:dyDescent="0.3">
      <c r="I171">
        <v>168</v>
      </c>
      <c r="J171">
        <v>2.171833525677124</v>
      </c>
      <c r="K171">
        <v>1</v>
      </c>
      <c r="L171">
        <v>1.530674863336827</v>
      </c>
      <c r="M171">
        <v>3.7025083890139512</v>
      </c>
      <c r="N171">
        <v>0</v>
      </c>
    </row>
    <row r="172" spans="9:14" x14ac:dyDescent="0.3">
      <c r="I172">
        <v>169</v>
      </c>
      <c r="J172">
        <v>1.6664002781323179</v>
      </c>
      <c r="K172">
        <v>1</v>
      </c>
      <c r="L172">
        <v>1.478316333389958</v>
      </c>
      <c r="M172">
        <v>3.1447166115222762</v>
      </c>
      <c r="N172">
        <v>0</v>
      </c>
    </row>
    <row r="173" spans="9:14" x14ac:dyDescent="0.3">
      <c r="I173">
        <v>170</v>
      </c>
      <c r="J173">
        <v>1.7922755863259949</v>
      </c>
      <c r="K173">
        <v>0</v>
      </c>
      <c r="L173">
        <v>0</v>
      </c>
      <c r="M173">
        <v>1.7922755863259949</v>
      </c>
      <c r="N173">
        <v>1</v>
      </c>
    </row>
    <row r="174" spans="9:14" x14ac:dyDescent="0.3">
      <c r="I174">
        <v>171</v>
      </c>
      <c r="J174">
        <v>1.7615645092569501</v>
      </c>
      <c r="K174">
        <v>0</v>
      </c>
      <c r="L174">
        <v>0</v>
      </c>
      <c r="M174">
        <v>1.7615645092569501</v>
      </c>
      <c r="N174">
        <v>1</v>
      </c>
    </row>
    <row r="175" spans="9:14" x14ac:dyDescent="0.3">
      <c r="I175">
        <v>172</v>
      </c>
      <c r="J175">
        <v>1.564164286278344</v>
      </c>
      <c r="K175">
        <v>1</v>
      </c>
      <c r="L175">
        <v>1.47433582680103</v>
      </c>
      <c r="M175">
        <v>3.0385001130793738</v>
      </c>
      <c r="N175">
        <v>0</v>
      </c>
    </row>
    <row r="176" spans="9:14" x14ac:dyDescent="0.3">
      <c r="I176">
        <v>173</v>
      </c>
      <c r="J176">
        <v>1.8635381735204899</v>
      </c>
      <c r="K176">
        <v>0</v>
      </c>
      <c r="L176">
        <v>0</v>
      </c>
      <c r="M176">
        <v>1.8635381735204899</v>
      </c>
      <c r="N176">
        <v>1</v>
      </c>
    </row>
    <row r="177" spans="9:14" x14ac:dyDescent="0.3">
      <c r="I177">
        <v>174</v>
      </c>
      <c r="J177">
        <v>2.6401012299893272</v>
      </c>
      <c r="K177">
        <v>1</v>
      </c>
      <c r="L177">
        <v>1.2819109314257009</v>
      </c>
      <c r="M177">
        <v>3.9220121614150281</v>
      </c>
      <c r="N177">
        <v>0</v>
      </c>
    </row>
    <row r="178" spans="9:14" x14ac:dyDescent="0.3">
      <c r="I178">
        <v>175</v>
      </c>
      <c r="J178">
        <v>1.7311174001378411</v>
      </c>
      <c r="K178">
        <v>0</v>
      </c>
      <c r="L178">
        <v>0</v>
      </c>
      <c r="M178">
        <v>1.7311174001378411</v>
      </c>
      <c r="N178">
        <v>1</v>
      </c>
    </row>
    <row r="179" spans="9:14" x14ac:dyDescent="0.3">
      <c r="I179">
        <v>176</v>
      </c>
      <c r="J179">
        <v>1.6610227611971791</v>
      </c>
      <c r="K179">
        <v>1</v>
      </c>
      <c r="L179">
        <v>1.779066204388454</v>
      </c>
      <c r="M179">
        <v>3.440088965585633</v>
      </c>
      <c r="N179">
        <v>0</v>
      </c>
    </row>
    <row r="180" spans="9:14" x14ac:dyDescent="0.3">
      <c r="I180">
        <v>177</v>
      </c>
      <c r="J180">
        <v>2.3023437963500202</v>
      </c>
      <c r="K180">
        <v>1</v>
      </c>
      <c r="L180">
        <v>1.1817067965585939</v>
      </c>
      <c r="M180">
        <v>3.4840505929086141</v>
      </c>
      <c r="N180">
        <v>0</v>
      </c>
    </row>
    <row r="181" spans="9:14" x14ac:dyDescent="0.3">
      <c r="I181">
        <v>178</v>
      </c>
      <c r="J181">
        <v>2.381905563164342</v>
      </c>
      <c r="K181">
        <v>1</v>
      </c>
      <c r="L181">
        <v>1.277778312762337</v>
      </c>
      <c r="M181">
        <v>3.6596838759266781</v>
      </c>
      <c r="N181">
        <v>0</v>
      </c>
    </row>
    <row r="182" spans="9:14" x14ac:dyDescent="0.3">
      <c r="I182">
        <v>179</v>
      </c>
      <c r="J182">
        <v>2.2468743056385678</v>
      </c>
      <c r="K182">
        <v>0</v>
      </c>
      <c r="L182">
        <v>0</v>
      </c>
      <c r="M182">
        <v>2.2468743056385678</v>
      </c>
      <c r="N182">
        <v>0</v>
      </c>
    </row>
    <row r="183" spans="9:14" x14ac:dyDescent="0.3">
      <c r="I183">
        <v>180</v>
      </c>
      <c r="J183">
        <v>2.404135461603349</v>
      </c>
      <c r="K183">
        <v>0</v>
      </c>
      <c r="L183">
        <v>0</v>
      </c>
      <c r="M183">
        <v>2.404135461603349</v>
      </c>
      <c r="N183">
        <v>0</v>
      </c>
    </row>
    <row r="184" spans="9:14" x14ac:dyDescent="0.3">
      <c r="I184">
        <v>181</v>
      </c>
      <c r="J184">
        <v>1.817527066214746</v>
      </c>
      <c r="K184">
        <v>1</v>
      </c>
      <c r="L184">
        <v>1.8334110932486229</v>
      </c>
      <c r="M184">
        <v>3.6509381594633701</v>
      </c>
      <c r="N184">
        <v>0</v>
      </c>
    </row>
    <row r="185" spans="9:14" x14ac:dyDescent="0.3">
      <c r="I185">
        <v>182</v>
      </c>
      <c r="J185">
        <v>2.2519980165496052</v>
      </c>
      <c r="K185">
        <v>0</v>
      </c>
      <c r="L185">
        <v>0</v>
      </c>
      <c r="M185">
        <v>2.2519980165496052</v>
      </c>
      <c r="N185">
        <v>0</v>
      </c>
    </row>
    <row r="186" spans="9:14" x14ac:dyDescent="0.3">
      <c r="I186">
        <v>183</v>
      </c>
      <c r="J186">
        <v>2.165040887387998</v>
      </c>
      <c r="K186">
        <v>1</v>
      </c>
      <c r="L186">
        <v>1.0333845865339639</v>
      </c>
      <c r="M186">
        <v>3.1984254739219629</v>
      </c>
      <c r="N186">
        <v>0</v>
      </c>
    </row>
    <row r="187" spans="9:14" x14ac:dyDescent="0.3">
      <c r="I187">
        <v>184</v>
      </c>
      <c r="J187">
        <v>1.689449545599581</v>
      </c>
      <c r="K187">
        <v>0</v>
      </c>
      <c r="L187">
        <v>0</v>
      </c>
      <c r="M187">
        <v>1.689449545599581</v>
      </c>
      <c r="N187">
        <v>1</v>
      </c>
    </row>
    <row r="188" spans="9:14" x14ac:dyDescent="0.3">
      <c r="I188">
        <v>185</v>
      </c>
      <c r="J188">
        <v>1.441797744076073</v>
      </c>
      <c r="K188">
        <v>0</v>
      </c>
      <c r="L188">
        <v>0</v>
      </c>
      <c r="M188">
        <v>1.441797744076073</v>
      </c>
      <c r="N188">
        <v>1</v>
      </c>
    </row>
    <row r="189" spans="9:14" x14ac:dyDescent="0.3">
      <c r="I189">
        <v>186</v>
      </c>
      <c r="J189">
        <v>1.208297902966287</v>
      </c>
      <c r="K189">
        <v>1</v>
      </c>
      <c r="L189">
        <v>1.439064795721531</v>
      </c>
      <c r="M189">
        <v>2.647362698687818</v>
      </c>
      <c r="N189">
        <v>0</v>
      </c>
    </row>
    <row r="190" spans="9:14" x14ac:dyDescent="0.3">
      <c r="I190">
        <v>187</v>
      </c>
      <c r="J190">
        <v>1.38411296604078</v>
      </c>
      <c r="K190">
        <v>1</v>
      </c>
      <c r="L190">
        <v>1.6092738928446599</v>
      </c>
      <c r="M190">
        <v>2.9933868588854402</v>
      </c>
      <c r="N190">
        <v>0</v>
      </c>
    </row>
    <row r="191" spans="9:14" x14ac:dyDescent="0.3">
      <c r="I191">
        <v>188</v>
      </c>
      <c r="J191">
        <v>1.845873587243553</v>
      </c>
      <c r="K191">
        <v>1</v>
      </c>
      <c r="L191">
        <v>1.244395802596205</v>
      </c>
      <c r="M191">
        <v>3.090269389839758</v>
      </c>
      <c r="N191">
        <v>0</v>
      </c>
    </row>
    <row r="192" spans="9:14" x14ac:dyDescent="0.3">
      <c r="I192">
        <v>189</v>
      </c>
      <c r="J192">
        <v>1.853269951920429</v>
      </c>
      <c r="K192">
        <v>1</v>
      </c>
      <c r="L192">
        <v>1.781306947820994</v>
      </c>
      <c r="M192">
        <v>3.6345768997414232</v>
      </c>
      <c r="N192">
        <v>0</v>
      </c>
    </row>
    <row r="193" spans="9:14" x14ac:dyDescent="0.3">
      <c r="I193">
        <v>190</v>
      </c>
      <c r="J193">
        <v>1.9492219850399231</v>
      </c>
      <c r="K193">
        <v>0</v>
      </c>
      <c r="L193">
        <v>0</v>
      </c>
      <c r="M193">
        <v>1.9492219850399231</v>
      </c>
      <c r="N193">
        <v>1</v>
      </c>
    </row>
    <row r="194" spans="9:14" x14ac:dyDescent="0.3">
      <c r="I194">
        <v>191</v>
      </c>
      <c r="J194">
        <v>2.055669042580003</v>
      </c>
      <c r="K194">
        <v>0</v>
      </c>
      <c r="L194">
        <v>0</v>
      </c>
      <c r="M194">
        <v>2.055669042580003</v>
      </c>
      <c r="N194">
        <v>0</v>
      </c>
    </row>
    <row r="195" spans="9:14" x14ac:dyDescent="0.3">
      <c r="I195">
        <v>192</v>
      </c>
      <c r="J195">
        <v>2.0778069605186218</v>
      </c>
      <c r="K195">
        <v>1</v>
      </c>
      <c r="L195">
        <v>1.4305378047130921</v>
      </c>
      <c r="M195">
        <v>3.5083447652317141</v>
      </c>
      <c r="N195">
        <v>0</v>
      </c>
    </row>
    <row r="196" spans="9:14" x14ac:dyDescent="0.3">
      <c r="I196">
        <v>193</v>
      </c>
      <c r="J196">
        <v>2.5150043230386991</v>
      </c>
      <c r="K196">
        <v>0</v>
      </c>
      <c r="L196">
        <v>0</v>
      </c>
      <c r="M196">
        <v>2.5150043230386991</v>
      </c>
      <c r="N196">
        <v>0</v>
      </c>
    </row>
    <row r="197" spans="9:14" x14ac:dyDescent="0.3">
      <c r="I197">
        <v>194</v>
      </c>
      <c r="J197">
        <v>1.191405780189124</v>
      </c>
      <c r="K197">
        <v>0</v>
      </c>
      <c r="L197">
        <v>0</v>
      </c>
      <c r="M197">
        <v>1.191405780189124</v>
      </c>
      <c r="N197">
        <v>1</v>
      </c>
    </row>
    <row r="198" spans="9:14" x14ac:dyDescent="0.3">
      <c r="I198">
        <v>195</v>
      </c>
      <c r="J198">
        <v>1.979662844148347</v>
      </c>
      <c r="K198">
        <v>1</v>
      </c>
      <c r="L198">
        <v>1.9962679434309261</v>
      </c>
      <c r="M198">
        <v>3.9759307875792729</v>
      </c>
      <c r="N198">
        <v>0</v>
      </c>
    </row>
    <row r="199" spans="9:14" x14ac:dyDescent="0.3">
      <c r="I199">
        <v>196</v>
      </c>
      <c r="J199">
        <v>2.100483671563822</v>
      </c>
      <c r="K199">
        <v>0</v>
      </c>
      <c r="L199">
        <v>0</v>
      </c>
      <c r="M199">
        <v>2.100483671563822</v>
      </c>
      <c r="N199">
        <v>0</v>
      </c>
    </row>
    <row r="200" spans="9:14" x14ac:dyDescent="0.3">
      <c r="I200">
        <v>197</v>
      </c>
      <c r="J200">
        <v>2.042313874988793</v>
      </c>
      <c r="K200">
        <v>1</v>
      </c>
      <c r="L200">
        <v>1.311703608250588</v>
      </c>
      <c r="M200">
        <v>3.3540174832393812</v>
      </c>
      <c r="N200">
        <v>0</v>
      </c>
    </row>
    <row r="201" spans="9:14" x14ac:dyDescent="0.3">
      <c r="I201">
        <v>198</v>
      </c>
      <c r="J201">
        <v>1.4229383321777651</v>
      </c>
      <c r="K201">
        <v>1</v>
      </c>
      <c r="L201">
        <v>1.2169626555619091</v>
      </c>
      <c r="M201">
        <v>2.639900987739674</v>
      </c>
      <c r="N201">
        <v>0</v>
      </c>
    </row>
    <row r="202" spans="9:14" x14ac:dyDescent="0.3">
      <c r="I202">
        <v>199</v>
      </c>
      <c r="J202">
        <v>1.7765393056739001</v>
      </c>
      <c r="K202">
        <v>1</v>
      </c>
      <c r="L202">
        <v>1.1089038879992239</v>
      </c>
      <c r="M202">
        <v>2.8854431936731242</v>
      </c>
      <c r="N202">
        <v>0</v>
      </c>
    </row>
    <row r="203" spans="9:14" x14ac:dyDescent="0.3">
      <c r="I203">
        <v>200</v>
      </c>
      <c r="J203">
        <v>1.9353323508700919</v>
      </c>
      <c r="K203">
        <v>0</v>
      </c>
      <c r="L203">
        <v>0</v>
      </c>
      <c r="M203">
        <v>1.9353323508700919</v>
      </c>
      <c r="N203">
        <v>1</v>
      </c>
    </row>
    <row r="204" spans="9:14" x14ac:dyDescent="0.3">
      <c r="I204">
        <v>201</v>
      </c>
      <c r="J204">
        <v>1.6970620804835439</v>
      </c>
      <c r="K204">
        <v>0</v>
      </c>
      <c r="L204">
        <v>0</v>
      </c>
      <c r="M204">
        <v>1.6970620804835439</v>
      </c>
      <c r="N204">
        <v>1</v>
      </c>
    </row>
    <row r="205" spans="9:14" x14ac:dyDescent="0.3">
      <c r="I205">
        <v>202</v>
      </c>
      <c r="J205">
        <v>1.5347567026524001</v>
      </c>
      <c r="K205">
        <v>0</v>
      </c>
      <c r="L205">
        <v>0</v>
      </c>
      <c r="M205">
        <v>1.5347567026524001</v>
      </c>
      <c r="N205">
        <v>1</v>
      </c>
    </row>
    <row r="206" spans="9:14" x14ac:dyDescent="0.3">
      <c r="I206">
        <v>203</v>
      </c>
      <c r="J206">
        <v>1.6805895813113969</v>
      </c>
      <c r="K206">
        <v>0</v>
      </c>
      <c r="L206">
        <v>0</v>
      </c>
      <c r="M206">
        <v>1.6805895813113969</v>
      </c>
      <c r="N206">
        <v>1</v>
      </c>
    </row>
    <row r="207" spans="9:14" x14ac:dyDescent="0.3">
      <c r="I207">
        <v>204</v>
      </c>
      <c r="J207">
        <v>1.732615263884578</v>
      </c>
      <c r="K207">
        <v>0</v>
      </c>
      <c r="L207">
        <v>0</v>
      </c>
      <c r="M207">
        <v>1.732615263884578</v>
      </c>
      <c r="N207">
        <v>1</v>
      </c>
    </row>
    <row r="208" spans="9:14" x14ac:dyDescent="0.3">
      <c r="I208">
        <v>205</v>
      </c>
      <c r="J208">
        <v>1.688698497516737</v>
      </c>
      <c r="K208">
        <v>1</v>
      </c>
      <c r="L208">
        <v>1.577941135155204</v>
      </c>
      <c r="M208">
        <v>3.2666396326719398</v>
      </c>
      <c r="N208">
        <v>0</v>
      </c>
    </row>
    <row r="209" spans="9:14" x14ac:dyDescent="0.3">
      <c r="I209">
        <v>206</v>
      </c>
      <c r="J209">
        <v>2.0965118739038791</v>
      </c>
      <c r="K209">
        <v>1</v>
      </c>
      <c r="L209">
        <v>1.2926839924512841</v>
      </c>
      <c r="M209">
        <v>3.3891958663551618</v>
      </c>
      <c r="N209">
        <v>0</v>
      </c>
    </row>
    <row r="210" spans="9:14" x14ac:dyDescent="0.3">
      <c r="I210">
        <v>207</v>
      </c>
      <c r="J210">
        <v>1.825780160693633</v>
      </c>
      <c r="K210">
        <v>1</v>
      </c>
      <c r="L210">
        <v>1.423523779569857</v>
      </c>
      <c r="M210">
        <v>3.24930394026349</v>
      </c>
      <c r="N210">
        <v>0</v>
      </c>
    </row>
    <row r="211" spans="9:14" x14ac:dyDescent="0.3">
      <c r="I211">
        <v>208</v>
      </c>
      <c r="J211">
        <v>2.591043369003089</v>
      </c>
      <c r="K211">
        <v>1</v>
      </c>
      <c r="L211">
        <v>1.537660193435584</v>
      </c>
      <c r="M211">
        <v>4.1287035624386732</v>
      </c>
      <c r="N211">
        <v>0</v>
      </c>
    </row>
    <row r="212" spans="9:14" x14ac:dyDescent="0.3">
      <c r="I212">
        <v>209</v>
      </c>
      <c r="J212">
        <v>2.024823900214868</v>
      </c>
      <c r="K212">
        <v>0</v>
      </c>
      <c r="L212">
        <v>0</v>
      </c>
      <c r="M212">
        <v>2.024823900214868</v>
      </c>
      <c r="N212">
        <v>0</v>
      </c>
    </row>
    <row r="213" spans="9:14" x14ac:dyDescent="0.3">
      <c r="I213">
        <v>210</v>
      </c>
      <c r="J213">
        <v>1.9663318323427119</v>
      </c>
      <c r="K213">
        <v>0</v>
      </c>
      <c r="L213">
        <v>0</v>
      </c>
      <c r="M213">
        <v>1.9663318323427119</v>
      </c>
      <c r="N213">
        <v>1</v>
      </c>
    </row>
    <row r="214" spans="9:14" x14ac:dyDescent="0.3">
      <c r="I214">
        <v>211</v>
      </c>
      <c r="J214">
        <v>2.2458732275191728</v>
      </c>
      <c r="K214">
        <v>1</v>
      </c>
      <c r="L214">
        <v>1.076053987871032</v>
      </c>
      <c r="M214">
        <v>3.3219272153902049</v>
      </c>
      <c r="N214">
        <v>0</v>
      </c>
    </row>
    <row r="215" spans="9:14" x14ac:dyDescent="0.3">
      <c r="I215">
        <v>212</v>
      </c>
      <c r="J215">
        <v>2.5731942182435361</v>
      </c>
      <c r="K215">
        <v>0</v>
      </c>
      <c r="L215">
        <v>0</v>
      </c>
      <c r="M215">
        <v>2.5731942182435361</v>
      </c>
      <c r="N215">
        <v>0</v>
      </c>
    </row>
    <row r="216" spans="9:14" x14ac:dyDescent="0.3">
      <c r="I216">
        <v>213</v>
      </c>
      <c r="J216">
        <v>1.8152038186080861</v>
      </c>
      <c r="K216">
        <v>1</v>
      </c>
      <c r="L216">
        <v>1.1436443854354961</v>
      </c>
      <c r="M216">
        <v>2.9588482040435822</v>
      </c>
      <c r="N216">
        <v>0</v>
      </c>
    </row>
    <row r="217" spans="9:14" x14ac:dyDescent="0.3">
      <c r="I217">
        <v>214</v>
      </c>
      <c r="J217">
        <v>2.2352630118237529</v>
      </c>
      <c r="K217">
        <v>1</v>
      </c>
      <c r="L217">
        <v>1.437637860292174</v>
      </c>
      <c r="M217">
        <v>3.6729008721159269</v>
      </c>
      <c r="N217">
        <v>0</v>
      </c>
    </row>
    <row r="218" spans="9:14" x14ac:dyDescent="0.3">
      <c r="I218">
        <v>215</v>
      </c>
      <c r="J218">
        <v>1.6828853359714571</v>
      </c>
      <c r="K218">
        <v>0</v>
      </c>
      <c r="L218">
        <v>0</v>
      </c>
      <c r="M218">
        <v>1.6828853359714571</v>
      </c>
      <c r="N218">
        <v>1</v>
      </c>
    </row>
    <row r="219" spans="9:14" x14ac:dyDescent="0.3">
      <c r="I219">
        <v>216</v>
      </c>
      <c r="J219">
        <v>1.782126743698113</v>
      </c>
      <c r="K219">
        <v>0</v>
      </c>
      <c r="L219">
        <v>0</v>
      </c>
      <c r="M219">
        <v>1.782126743698113</v>
      </c>
      <c r="N219">
        <v>1</v>
      </c>
    </row>
    <row r="220" spans="9:14" x14ac:dyDescent="0.3">
      <c r="I220">
        <v>217</v>
      </c>
      <c r="J220">
        <v>2.38049343645406</v>
      </c>
      <c r="K220">
        <v>0</v>
      </c>
      <c r="L220">
        <v>0</v>
      </c>
      <c r="M220">
        <v>2.38049343645406</v>
      </c>
      <c r="N220">
        <v>0</v>
      </c>
    </row>
    <row r="221" spans="9:14" x14ac:dyDescent="0.3">
      <c r="I221">
        <v>218</v>
      </c>
      <c r="J221">
        <v>2.2091904398171911</v>
      </c>
      <c r="K221">
        <v>0</v>
      </c>
      <c r="L221">
        <v>0</v>
      </c>
      <c r="M221">
        <v>2.2091904398171911</v>
      </c>
      <c r="N221">
        <v>0</v>
      </c>
    </row>
    <row r="222" spans="9:14" x14ac:dyDescent="0.3">
      <c r="I222">
        <v>219</v>
      </c>
      <c r="J222">
        <v>2.0614857246226319</v>
      </c>
      <c r="K222">
        <v>0</v>
      </c>
      <c r="L222">
        <v>0</v>
      </c>
      <c r="M222">
        <v>2.0614857246226319</v>
      </c>
      <c r="N222">
        <v>0</v>
      </c>
    </row>
    <row r="223" spans="9:14" x14ac:dyDescent="0.3">
      <c r="I223">
        <v>220</v>
      </c>
      <c r="J223">
        <v>1.62670970586053</v>
      </c>
      <c r="K223">
        <v>0</v>
      </c>
      <c r="L223">
        <v>0</v>
      </c>
      <c r="M223">
        <v>1.62670970586053</v>
      </c>
      <c r="N223">
        <v>1</v>
      </c>
    </row>
    <row r="224" spans="9:14" x14ac:dyDescent="0.3">
      <c r="I224">
        <v>221</v>
      </c>
      <c r="J224">
        <v>2.4367858140725618</v>
      </c>
      <c r="K224">
        <v>0</v>
      </c>
      <c r="L224">
        <v>0</v>
      </c>
      <c r="M224">
        <v>2.4367858140725618</v>
      </c>
      <c r="N224">
        <v>0</v>
      </c>
    </row>
    <row r="225" spans="9:14" x14ac:dyDescent="0.3">
      <c r="I225">
        <v>222</v>
      </c>
      <c r="J225">
        <v>2.1341527258430588</v>
      </c>
      <c r="K225">
        <v>0</v>
      </c>
      <c r="L225">
        <v>0</v>
      </c>
      <c r="M225">
        <v>2.1341527258430588</v>
      </c>
      <c r="N225">
        <v>0</v>
      </c>
    </row>
    <row r="226" spans="9:14" x14ac:dyDescent="0.3">
      <c r="I226">
        <v>223</v>
      </c>
      <c r="J226">
        <v>2.50502461996162</v>
      </c>
      <c r="K226">
        <v>0</v>
      </c>
      <c r="L226">
        <v>0</v>
      </c>
      <c r="M226">
        <v>2.50502461996162</v>
      </c>
      <c r="N226">
        <v>0</v>
      </c>
    </row>
    <row r="227" spans="9:14" x14ac:dyDescent="0.3">
      <c r="I227">
        <v>224</v>
      </c>
      <c r="J227">
        <v>1.9792715760569819</v>
      </c>
      <c r="K227">
        <v>0</v>
      </c>
      <c r="L227">
        <v>0</v>
      </c>
      <c r="M227">
        <v>1.9792715760569819</v>
      </c>
      <c r="N227">
        <v>1</v>
      </c>
    </row>
    <row r="228" spans="9:14" x14ac:dyDescent="0.3">
      <c r="I228">
        <v>225</v>
      </c>
      <c r="J228">
        <v>1.994583198311517</v>
      </c>
      <c r="K228">
        <v>0</v>
      </c>
      <c r="L228">
        <v>0</v>
      </c>
      <c r="M228">
        <v>1.994583198311517</v>
      </c>
      <c r="N228">
        <v>1</v>
      </c>
    </row>
    <row r="229" spans="9:14" x14ac:dyDescent="0.3">
      <c r="I229">
        <v>226</v>
      </c>
      <c r="J229">
        <v>2.4808817675123498</v>
      </c>
      <c r="K229">
        <v>1</v>
      </c>
      <c r="L229">
        <v>1.17355280074496</v>
      </c>
      <c r="M229">
        <v>3.6544345682573098</v>
      </c>
      <c r="N229">
        <v>0</v>
      </c>
    </row>
    <row r="230" spans="9:14" x14ac:dyDescent="0.3">
      <c r="I230">
        <v>227</v>
      </c>
      <c r="J230">
        <v>1.7082005507121261</v>
      </c>
      <c r="K230">
        <v>0</v>
      </c>
      <c r="L230">
        <v>0</v>
      </c>
      <c r="M230">
        <v>1.7082005507121261</v>
      </c>
      <c r="N230">
        <v>1</v>
      </c>
    </row>
    <row r="231" spans="9:14" x14ac:dyDescent="0.3">
      <c r="I231">
        <v>228</v>
      </c>
      <c r="J231">
        <v>1.442875956202087</v>
      </c>
      <c r="K231">
        <v>1</v>
      </c>
      <c r="L231">
        <v>1.0723845587514389</v>
      </c>
      <c r="M231">
        <v>2.5152605149535261</v>
      </c>
      <c r="N231">
        <v>0</v>
      </c>
    </row>
    <row r="232" spans="9:14" x14ac:dyDescent="0.3">
      <c r="I232">
        <v>229</v>
      </c>
      <c r="J232">
        <v>2.2253325596147082</v>
      </c>
      <c r="K232">
        <v>0</v>
      </c>
      <c r="L232">
        <v>0</v>
      </c>
      <c r="M232">
        <v>2.2253325596147082</v>
      </c>
      <c r="N232">
        <v>0</v>
      </c>
    </row>
    <row r="233" spans="9:14" x14ac:dyDescent="0.3">
      <c r="I233">
        <v>230</v>
      </c>
      <c r="J233">
        <v>1.684827056705182</v>
      </c>
      <c r="K233">
        <v>1</v>
      </c>
      <c r="L233">
        <v>1.450305950417115</v>
      </c>
      <c r="M233">
        <v>3.135133007122298</v>
      </c>
      <c r="N233">
        <v>0</v>
      </c>
    </row>
    <row r="234" spans="9:14" x14ac:dyDescent="0.3">
      <c r="I234">
        <v>231</v>
      </c>
      <c r="J234">
        <v>1.8706292833908229</v>
      </c>
      <c r="K234">
        <v>1</v>
      </c>
      <c r="L234">
        <v>1.082712044354885</v>
      </c>
      <c r="M234">
        <v>2.9533413277457079</v>
      </c>
      <c r="N234">
        <v>0</v>
      </c>
    </row>
    <row r="235" spans="9:14" x14ac:dyDescent="0.3">
      <c r="I235">
        <v>232</v>
      </c>
      <c r="J235">
        <v>2.0257753548437889</v>
      </c>
      <c r="K235">
        <v>1</v>
      </c>
      <c r="L235">
        <v>1.784467831086793</v>
      </c>
      <c r="M235">
        <v>3.8102431859305819</v>
      </c>
      <c r="N235">
        <v>0</v>
      </c>
    </row>
    <row r="236" spans="9:14" x14ac:dyDescent="0.3">
      <c r="I236">
        <v>233</v>
      </c>
      <c r="J236">
        <v>1.929348420646565</v>
      </c>
      <c r="K236">
        <v>0</v>
      </c>
      <c r="L236">
        <v>0</v>
      </c>
      <c r="M236">
        <v>1.929348420646565</v>
      </c>
      <c r="N236">
        <v>1</v>
      </c>
    </row>
    <row r="237" spans="9:14" x14ac:dyDescent="0.3">
      <c r="I237">
        <v>234</v>
      </c>
      <c r="J237">
        <v>1.8214759173417669</v>
      </c>
      <c r="K237">
        <v>0</v>
      </c>
      <c r="L237">
        <v>0</v>
      </c>
      <c r="M237">
        <v>1.8214759173417669</v>
      </c>
      <c r="N237">
        <v>1</v>
      </c>
    </row>
    <row r="238" spans="9:14" x14ac:dyDescent="0.3">
      <c r="I238">
        <v>235</v>
      </c>
      <c r="J238">
        <v>1.345886934329555</v>
      </c>
      <c r="K238">
        <v>0</v>
      </c>
      <c r="L238">
        <v>0</v>
      </c>
      <c r="M238">
        <v>1.345886934329555</v>
      </c>
      <c r="N238">
        <v>1</v>
      </c>
    </row>
    <row r="239" spans="9:14" x14ac:dyDescent="0.3">
      <c r="I239">
        <v>236</v>
      </c>
      <c r="J239">
        <v>1.8602312522722231</v>
      </c>
      <c r="K239">
        <v>1</v>
      </c>
      <c r="L239">
        <v>1.433223540303203</v>
      </c>
      <c r="M239">
        <v>3.2934547925754258</v>
      </c>
      <c r="N239">
        <v>0</v>
      </c>
    </row>
    <row r="240" spans="9:14" x14ac:dyDescent="0.3">
      <c r="I240">
        <v>237</v>
      </c>
      <c r="J240">
        <v>2.1922778180499058</v>
      </c>
      <c r="K240">
        <v>1</v>
      </c>
      <c r="L240">
        <v>1.7034294792054661</v>
      </c>
      <c r="M240">
        <v>3.8957072972553721</v>
      </c>
      <c r="N240">
        <v>0</v>
      </c>
    </row>
    <row r="241" spans="9:14" x14ac:dyDescent="0.3">
      <c r="I241">
        <v>238</v>
      </c>
      <c r="J241">
        <v>1.7571384288014209</v>
      </c>
      <c r="K241">
        <v>0</v>
      </c>
      <c r="L241">
        <v>0</v>
      </c>
      <c r="M241">
        <v>1.7571384288014209</v>
      </c>
      <c r="N241">
        <v>1</v>
      </c>
    </row>
    <row r="242" spans="9:14" x14ac:dyDescent="0.3">
      <c r="I242">
        <v>239</v>
      </c>
      <c r="J242">
        <v>2.169754466132134</v>
      </c>
      <c r="K242">
        <v>0</v>
      </c>
      <c r="L242">
        <v>0</v>
      </c>
      <c r="M242">
        <v>2.169754466132134</v>
      </c>
      <c r="N242">
        <v>0</v>
      </c>
    </row>
    <row r="243" spans="9:14" x14ac:dyDescent="0.3">
      <c r="I243">
        <v>240</v>
      </c>
      <c r="J243">
        <v>1.43912675846506</v>
      </c>
      <c r="K243">
        <v>1</v>
      </c>
      <c r="L243">
        <v>1.5196125938031519</v>
      </c>
      <c r="M243">
        <v>2.9587393522682119</v>
      </c>
      <c r="N243">
        <v>0</v>
      </c>
    </row>
    <row r="244" spans="9:14" x14ac:dyDescent="0.3">
      <c r="I244">
        <v>241</v>
      </c>
      <c r="J244">
        <v>1.4353940932069571</v>
      </c>
      <c r="K244">
        <v>1</v>
      </c>
      <c r="L244">
        <v>1.4152005569737991</v>
      </c>
      <c r="M244">
        <v>2.850594650180756</v>
      </c>
      <c r="N244">
        <v>0</v>
      </c>
    </row>
    <row r="245" spans="9:14" x14ac:dyDescent="0.3">
      <c r="I245">
        <v>242</v>
      </c>
      <c r="J245">
        <v>1.3257041625815329</v>
      </c>
      <c r="K245">
        <v>1</v>
      </c>
      <c r="L245">
        <v>1.2732642380460639</v>
      </c>
      <c r="M245">
        <v>2.5989684006275979</v>
      </c>
      <c r="N245">
        <v>0</v>
      </c>
    </row>
    <row r="246" spans="9:14" x14ac:dyDescent="0.3">
      <c r="I246">
        <v>243</v>
      </c>
      <c r="J246">
        <v>1.9361933213281659</v>
      </c>
      <c r="K246">
        <v>0</v>
      </c>
      <c r="L246">
        <v>0</v>
      </c>
      <c r="M246">
        <v>1.9361933213281659</v>
      </c>
      <c r="N246">
        <v>1</v>
      </c>
    </row>
    <row r="247" spans="9:14" x14ac:dyDescent="0.3">
      <c r="I247">
        <v>244</v>
      </c>
      <c r="J247">
        <v>1.7155559996647951</v>
      </c>
      <c r="K247">
        <v>1</v>
      </c>
      <c r="L247">
        <v>1.995105550665639</v>
      </c>
      <c r="M247">
        <v>3.7106615503304341</v>
      </c>
      <c r="N247">
        <v>0</v>
      </c>
    </row>
    <row r="248" spans="9:14" x14ac:dyDescent="0.3">
      <c r="I248">
        <v>245</v>
      </c>
      <c r="J248">
        <v>2.1524844092272879</v>
      </c>
      <c r="K248">
        <v>1</v>
      </c>
      <c r="L248">
        <v>1.1852474841919329</v>
      </c>
      <c r="M248">
        <v>3.3377318934192211</v>
      </c>
      <c r="N248">
        <v>0</v>
      </c>
    </row>
    <row r="249" spans="9:14" x14ac:dyDescent="0.3">
      <c r="I249">
        <v>246</v>
      </c>
      <c r="J249">
        <v>2.4127409059042599</v>
      </c>
      <c r="K249">
        <v>0</v>
      </c>
      <c r="L249">
        <v>0</v>
      </c>
      <c r="M249">
        <v>2.4127409059042599</v>
      </c>
      <c r="N249">
        <v>0</v>
      </c>
    </row>
    <row r="250" spans="9:14" x14ac:dyDescent="0.3">
      <c r="I250">
        <v>247</v>
      </c>
      <c r="J250">
        <v>2.4684995364206448</v>
      </c>
      <c r="K250">
        <v>1</v>
      </c>
      <c r="L250">
        <v>1.237084351784403</v>
      </c>
      <c r="M250">
        <v>3.705583888205048</v>
      </c>
      <c r="N250">
        <v>0</v>
      </c>
    </row>
    <row r="251" spans="9:14" x14ac:dyDescent="0.3">
      <c r="I251">
        <v>248</v>
      </c>
      <c r="J251">
        <v>1.891146677476591</v>
      </c>
      <c r="K251">
        <v>0</v>
      </c>
      <c r="L251">
        <v>0</v>
      </c>
      <c r="M251">
        <v>1.891146677476591</v>
      </c>
      <c r="N251">
        <v>1</v>
      </c>
    </row>
    <row r="252" spans="9:14" x14ac:dyDescent="0.3">
      <c r="I252">
        <v>249</v>
      </c>
      <c r="J252">
        <v>1.7597900660561421</v>
      </c>
      <c r="K252">
        <v>1</v>
      </c>
      <c r="L252">
        <v>1.487430885252389</v>
      </c>
      <c r="M252">
        <v>3.2472209513085319</v>
      </c>
      <c r="N252">
        <v>0</v>
      </c>
    </row>
    <row r="253" spans="9:14" x14ac:dyDescent="0.3">
      <c r="I253">
        <v>250</v>
      </c>
      <c r="J253">
        <v>1.5015188880864869</v>
      </c>
      <c r="K253">
        <v>0</v>
      </c>
      <c r="L253">
        <v>0</v>
      </c>
      <c r="M253">
        <v>1.5015188880864869</v>
      </c>
      <c r="N253">
        <v>1</v>
      </c>
    </row>
    <row r="254" spans="9:14" x14ac:dyDescent="0.3">
      <c r="I254">
        <v>251</v>
      </c>
      <c r="J254">
        <v>1.7182739643527289</v>
      </c>
      <c r="K254">
        <v>0</v>
      </c>
      <c r="L254">
        <v>0</v>
      </c>
      <c r="M254">
        <v>1.7182739643527289</v>
      </c>
      <c r="N254">
        <v>1</v>
      </c>
    </row>
    <row r="255" spans="9:14" x14ac:dyDescent="0.3">
      <c r="I255">
        <v>252</v>
      </c>
      <c r="J255">
        <v>1.617070414821933</v>
      </c>
      <c r="K255">
        <v>0</v>
      </c>
      <c r="L255">
        <v>0</v>
      </c>
      <c r="M255">
        <v>1.617070414821933</v>
      </c>
      <c r="N255">
        <v>1</v>
      </c>
    </row>
    <row r="256" spans="9:14" x14ac:dyDescent="0.3">
      <c r="I256">
        <v>253</v>
      </c>
      <c r="J256">
        <v>2.503414113356611</v>
      </c>
      <c r="K256">
        <v>0</v>
      </c>
      <c r="L256">
        <v>0</v>
      </c>
      <c r="M256">
        <v>2.503414113356611</v>
      </c>
      <c r="N256">
        <v>0</v>
      </c>
    </row>
    <row r="257" spans="9:14" x14ac:dyDescent="0.3">
      <c r="I257">
        <v>254</v>
      </c>
      <c r="J257">
        <v>1.5249994617385889</v>
      </c>
      <c r="K257">
        <v>0</v>
      </c>
      <c r="L257">
        <v>0</v>
      </c>
      <c r="M257">
        <v>1.5249994617385889</v>
      </c>
      <c r="N257">
        <v>1</v>
      </c>
    </row>
    <row r="258" spans="9:14" x14ac:dyDescent="0.3">
      <c r="I258">
        <v>255</v>
      </c>
      <c r="J258">
        <v>1.6480189305133319</v>
      </c>
      <c r="K258">
        <v>1</v>
      </c>
      <c r="L258">
        <v>1.3111830366183479</v>
      </c>
      <c r="M258">
        <v>2.9592019671316798</v>
      </c>
      <c r="N258">
        <v>0</v>
      </c>
    </row>
    <row r="259" spans="9:14" x14ac:dyDescent="0.3">
      <c r="I259">
        <v>256</v>
      </c>
      <c r="J259">
        <v>2.1620562133030341</v>
      </c>
      <c r="K259">
        <v>1</v>
      </c>
      <c r="L259">
        <v>1.1210114298792331</v>
      </c>
      <c r="M259">
        <v>3.283067643182267</v>
      </c>
      <c r="N259">
        <v>0</v>
      </c>
    </row>
    <row r="260" spans="9:14" x14ac:dyDescent="0.3">
      <c r="I260">
        <v>257</v>
      </c>
      <c r="J260">
        <v>1.918188186501514</v>
      </c>
      <c r="K260">
        <v>0</v>
      </c>
      <c r="L260">
        <v>0</v>
      </c>
      <c r="M260">
        <v>1.918188186501514</v>
      </c>
      <c r="N260">
        <v>1</v>
      </c>
    </row>
    <row r="261" spans="9:14" x14ac:dyDescent="0.3">
      <c r="I261">
        <v>258</v>
      </c>
      <c r="J261">
        <v>1.7117399163056819</v>
      </c>
      <c r="K261">
        <v>0</v>
      </c>
      <c r="L261">
        <v>0</v>
      </c>
      <c r="M261">
        <v>1.7117399163056819</v>
      </c>
      <c r="N261">
        <v>1</v>
      </c>
    </row>
    <row r="262" spans="9:14" x14ac:dyDescent="0.3">
      <c r="I262">
        <v>259</v>
      </c>
      <c r="J262">
        <v>2.1638309405853331</v>
      </c>
      <c r="K262">
        <v>0</v>
      </c>
      <c r="L262">
        <v>0</v>
      </c>
      <c r="M262">
        <v>2.1638309405853331</v>
      </c>
      <c r="N262">
        <v>0</v>
      </c>
    </row>
    <row r="263" spans="9:14" x14ac:dyDescent="0.3">
      <c r="I263">
        <v>260</v>
      </c>
      <c r="J263">
        <v>2.3836056865932669</v>
      </c>
      <c r="K263">
        <v>0</v>
      </c>
      <c r="L263">
        <v>0</v>
      </c>
      <c r="M263">
        <v>2.3836056865932669</v>
      </c>
      <c r="N263">
        <v>0</v>
      </c>
    </row>
    <row r="264" spans="9:14" x14ac:dyDescent="0.3">
      <c r="I264">
        <v>261</v>
      </c>
      <c r="J264">
        <v>2.287364241301876</v>
      </c>
      <c r="K264">
        <v>0</v>
      </c>
      <c r="L264">
        <v>0</v>
      </c>
      <c r="M264">
        <v>2.287364241301876</v>
      </c>
      <c r="N264">
        <v>0</v>
      </c>
    </row>
    <row r="265" spans="9:14" x14ac:dyDescent="0.3">
      <c r="I265">
        <v>262</v>
      </c>
      <c r="J265">
        <v>1.9357301638996021</v>
      </c>
      <c r="K265">
        <v>1</v>
      </c>
      <c r="L265">
        <v>1.798692278760107</v>
      </c>
      <c r="M265">
        <v>3.7344224426597088</v>
      </c>
      <c r="N265">
        <v>0</v>
      </c>
    </row>
    <row r="266" spans="9:14" x14ac:dyDescent="0.3">
      <c r="I266">
        <v>263</v>
      </c>
      <c r="J266">
        <v>1.861372529201621</v>
      </c>
      <c r="K266">
        <v>1</v>
      </c>
      <c r="L266">
        <v>1.698467720540616</v>
      </c>
      <c r="M266">
        <v>3.559840249742237</v>
      </c>
      <c r="N266">
        <v>0</v>
      </c>
    </row>
    <row r="267" spans="9:14" x14ac:dyDescent="0.3">
      <c r="I267">
        <v>264</v>
      </c>
      <c r="J267">
        <v>1.1720065339196899</v>
      </c>
      <c r="K267">
        <v>1</v>
      </c>
      <c r="L267">
        <v>1.4699402816377201</v>
      </c>
      <c r="M267">
        <v>2.64194681555741</v>
      </c>
      <c r="N267">
        <v>0</v>
      </c>
    </row>
    <row r="268" spans="9:14" x14ac:dyDescent="0.3">
      <c r="I268">
        <v>265</v>
      </c>
      <c r="J268">
        <v>2.305032844635841</v>
      </c>
      <c r="K268">
        <v>0</v>
      </c>
      <c r="L268">
        <v>0</v>
      </c>
      <c r="M268">
        <v>2.305032844635841</v>
      </c>
      <c r="N268">
        <v>0</v>
      </c>
    </row>
    <row r="269" spans="9:14" x14ac:dyDescent="0.3">
      <c r="I269">
        <v>266</v>
      </c>
      <c r="J269">
        <v>1.4943333304109629</v>
      </c>
      <c r="K269">
        <v>1</v>
      </c>
      <c r="L269">
        <v>1.556280839164448</v>
      </c>
      <c r="M269">
        <v>3.050614169575411</v>
      </c>
      <c r="N269">
        <v>0</v>
      </c>
    </row>
    <row r="270" spans="9:14" x14ac:dyDescent="0.3">
      <c r="I270">
        <v>267</v>
      </c>
      <c r="J270">
        <v>1.6603586206495371</v>
      </c>
      <c r="K270">
        <v>0</v>
      </c>
      <c r="L270">
        <v>0</v>
      </c>
      <c r="M270">
        <v>1.6603586206495371</v>
      </c>
      <c r="N270">
        <v>1</v>
      </c>
    </row>
    <row r="271" spans="9:14" x14ac:dyDescent="0.3">
      <c r="I271">
        <v>268</v>
      </c>
      <c r="J271">
        <v>1.8156235222946639</v>
      </c>
      <c r="K271">
        <v>1</v>
      </c>
      <c r="L271">
        <v>1.112688857913529</v>
      </c>
      <c r="M271">
        <v>2.928312380208193</v>
      </c>
      <c r="N271">
        <v>0</v>
      </c>
    </row>
    <row r="272" spans="9:14" x14ac:dyDescent="0.3">
      <c r="I272">
        <v>269</v>
      </c>
      <c r="J272">
        <v>1.8529562573577349</v>
      </c>
      <c r="K272">
        <v>0</v>
      </c>
      <c r="L272">
        <v>0</v>
      </c>
      <c r="M272">
        <v>1.8529562573577349</v>
      </c>
      <c r="N272">
        <v>1</v>
      </c>
    </row>
    <row r="273" spans="9:14" x14ac:dyDescent="0.3">
      <c r="I273">
        <v>270</v>
      </c>
      <c r="J273">
        <v>1.9774380820037589</v>
      </c>
      <c r="K273">
        <v>1</v>
      </c>
      <c r="L273">
        <v>1.8761619870780839</v>
      </c>
      <c r="M273">
        <v>3.853600069081843</v>
      </c>
      <c r="N273">
        <v>0</v>
      </c>
    </row>
    <row r="274" spans="9:14" x14ac:dyDescent="0.3">
      <c r="I274">
        <v>271</v>
      </c>
      <c r="J274">
        <v>2.143997170227304</v>
      </c>
      <c r="K274">
        <v>0</v>
      </c>
      <c r="L274">
        <v>0</v>
      </c>
      <c r="M274">
        <v>2.143997170227304</v>
      </c>
      <c r="N274">
        <v>0</v>
      </c>
    </row>
    <row r="275" spans="9:14" x14ac:dyDescent="0.3">
      <c r="I275">
        <v>272</v>
      </c>
      <c r="J275">
        <v>1.746008295776835</v>
      </c>
      <c r="K275">
        <v>0</v>
      </c>
      <c r="L275">
        <v>0</v>
      </c>
      <c r="M275">
        <v>1.746008295776835</v>
      </c>
      <c r="N275">
        <v>1</v>
      </c>
    </row>
    <row r="276" spans="9:14" x14ac:dyDescent="0.3">
      <c r="I276">
        <v>273</v>
      </c>
      <c r="J276">
        <v>1.4031857550700411</v>
      </c>
      <c r="K276">
        <v>1</v>
      </c>
      <c r="L276">
        <v>1.8921004223119819</v>
      </c>
      <c r="M276">
        <v>3.2952861773820228</v>
      </c>
      <c r="N276">
        <v>0</v>
      </c>
    </row>
    <row r="277" spans="9:14" x14ac:dyDescent="0.3">
      <c r="I277">
        <v>274</v>
      </c>
      <c r="J277">
        <v>1.810460911814201</v>
      </c>
      <c r="K277">
        <v>0</v>
      </c>
      <c r="L277">
        <v>0</v>
      </c>
      <c r="M277">
        <v>1.810460911814201</v>
      </c>
      <c r="N277">
        <v>1</v>
      </c>
    </row>
    <row r="278" spans="9:14" x14ac:dyDescent="0.3">
      <c r="I278">
        <v>275</v>
      </c>
      <c r="J278">
        <v>1.7999330484896641</v>
      </c>
      <c r="K278">
        <v>0</v>
      </c>
      <c r="L278">
        <v>0</v>
      </c>
      <c r="M278">
        <v>1.7999330484896641</v>
      </c>
      <c r="N278">
        <v>1</v>
      </c>
    </row>
    <row r="279" spans="9:14" x14ac:dyDescent="0.3">
      <c r="I279">
        <v>276</v>
      </c>
      <c r="J279">
        <v>2.02937428428501</v>
      </c>
      <c r="K279">
        <v>1</v>
      </c>
      <c r="L279">
        <v>1.6588592420943851</v>
      </c>
      <c r="M279">
        <v>3.6882335263793942</v>
      </c>
      <c r="N279">
        <v>0</v>
      </c>
    </row>
    <row r="280" spans="9:14" x14ac:dyDescent="0.3">
      <c r="I280">
        <v>277</v>
      </c>
      <c r="J280">
        <v>2.0181123786096631</v>
      </c>
      <c r="K280">
        <v>1</v>
      </c>
      <c r="L280">
        <v>1.0257866478444291</v>
      </c>
      <c r="M280">
        <v>3.0438990264540911</v>
      </c>
      <c r="N280">
        <v>0</v>
      </c>
    </row>
    <row r="281" spans="9:14" x14ac:dyDescent="0.3">
      <c r="I281">
        <v>278</v>
      </c>
      <c r="J281">
        <v>1.679146171944486</v>
      </c>
      <c r="K281">
        <v>0</v>
      </c>
      <c r="L281">
        <v>0</v>
      </c>
      <c r="M281">
        <v>1.679146171944486</v>
      </c>
      <c r="N281">
        <v>1</v>
      </c>
    </row>
    <row r="282" spans="9:14" x14ac:dyDescent="0.3">
      <c r="I282">
        <v>279</v>
      </c>
      <c r="J282">
        <v>2.6412725913461088</v>
      </c>
      <c r="K282">
        <v>1</v>
      </c>
      <c r="L282">
        <v>1.95533131905545</v>
      </c>
      <c r="M282">
        <v>4.5966039104015586</v>
      </c>
      <c r="N282">
        <v>0</v>
      </c>
    </row>
    <row r="283" spans="9:14" x14ac:dyDescent="0.3">
      <c r="I283">
        <v>280</v>
      </c>
      <c r="J283">
        <v>2.1338469276319492</v>
      </c>
      <c r="K283">
        <v>1</v>
      </c>
      <c r="L283">
        <v>1.1289637028528541</v>
      </c>
      <c r="M283">
        <v>3.262810630484803</v>
      </c>
      <c r="N283">
        <v>0</v>
      </c>
    </row>
    <row r="284" spans="9:14" x14ac:dyDescent="0.3">
      <c r="I284">
        <v>281</v>
      </c>
      <c r="J284">
        <v>2.6227759570441909</v>
      </c>
      <c r="K284">
        <v>0</v>
      </c>
      <c r="L284">
        <v>0</v>
      </c>
      <c r="M284">
        <v>2.6227759570441909</v>
      </c>
      <c r="N284">
        <v>0</v>
      </c>
    </row>
    <row r="285" spans="9:14" x14ac:dyDescent="0.3">
      <c r="I285">
        <v>282</v>
      </c>
      <c r="J285">
        <v>1.949024858777763</v>
      </c>
      <c r="K285">
        <v>1</v>
      </c>
      <c r="L285">
        <v>1.310775807569273</v>
      </c>
      <c r="M285">
        <v>3.259800666347036</v>
      </c>
      <c r="N285">
        <v>0</v>
      </c>
    </row>
    <row r="286" spans="9:14" x14ac:dyDescent="0.3">
      <c r="I286">
        <v>283</v>
      </c>
      <c r="J286">
        <v>2.1153661251688032</v>
      </c>
      <c r="K286">
        <v>0</v>
      </c>
      <c r="L286">
        <v>0</v>
      </c>
      <c r="M286">
        <v>2.1153661251688032</v>
      </c>
      <c r="N286">
        <v>0</v>
      </c>
    </row>
    <row r="287" spans="9:14" x14ac:dyDescent="0.3">
      <c r="I287">
        <v>284</v>
      </c>
      <c r="J287">
        <v>2.051079798918475</v>
      </c>
      <c r="K287">
        <v>0</v>
      </c>
      <c r="L287">
        <v>0</v>
      </c>
      <c r="M287">
        <v>2.051079798918475</v>
      </c>
      <c r="N287">
        <v>0</v>
      </c>
    </row>
    <row r="288" spans="9:14" x14ac:dyDescent="0.3">
      <c r="I288">
        <v>285</v>
      </c>
      <c r="J288">
        <v>1.58989046586493</v>
      </c>
      <c r="K288">
        <v>1</v>
      </c>
      <c r="L288">
        <v>1.284894731206341</v>
      </c>
      <c r="M288">
        <v>2.874785197071271</v>
      </c>
      <c r="N288">
        <v>0</v>
      </c>
    </row>
    <row r="289" spans="9:14" x14ac:dyDescent="0.3">
      <c r="I289">
        <v>286</v>
      </c>
      <c r="J289">
        <v>1.8504667995312929</v>
      </c>
      <c r="K289">
        <v>1</v>
      </c>
      <c r="L289">
        <v>1.212525988036915</v>
      </c>
      <c r="M289">
        <v>3.0629927875682079</v>
      </c>
      <c r="N289">
        <v>0</v>
      </c>
    </row>
    <row r="290" spans="9:14" x14ac:dyDescent="0.3">
      <c r="I290">
        <v>287</v>
      </c>
      <c r="J290">
        <v>2.531460329928898</v>
      </c>
      <c r="K290">
        <v>0</v>
      </c>
      <c r="L290">
        <v>0</v>
      </c>
      <c r="M290">
        <v>2.531460329928898</v>
      </c>
      <c r="N290">
        <v>0</v>
      </c>
    </row>
    <row r="291" spans="9:14" x14ac:dyDescent="0.3">
      <c r="I291">
        <v>288</v>
      </c>
      <c r="J291">
        <v>2.0406521613051711</v>
      </c>
      <c r="K291">
        <v>1</v>
      </c>
      <c r="L291">
        <v>1.3360722736464441</v>
      </c>
      <c r="M291">
        <v>3.376724434951615</v>
      </c>
      <c r="N291">
        <v>0</v>
      </c>
    </row>
    <row r="292" spans="9:14" x14ac:dyDescent="0.3">
      <c r="I292">
        <v>289</v>
      </c>
      <c r="J292">
        <v>1.9907206009736349</v>
      </c>
      <c r="K292">
        <v>0</v>
      </c>
      <c r="L292">
        <v>0</v>
      </c>
      <c r="M292">
        <v>1.9907206009736349</v>
      </c>
      <c r="N292">
        <v>1</v>
      </c>
    </row>
    <row r="293" spans="9:14" x14ac:dyDescent="0.3">
      <c r="I293">
        <v>290</v>
      </c>
      <c r="J293">
        <v>1.724327829166685</v>
      </c>
      <c r="K293">
        <v>0</v>
      </c>
      <c r="L293">
        <v>0</v>
      </c>
      <c r="M293">
        <v>1.724327829166685</v>
      </c>
      <c r="N293">
        <v>1</v>
      </c>
    </row>
    <row r="294" spans="9:14" x14ac:dyDescent="0.3">
      <c r="I294">
        <v>291</v>
      </c>
      <c r="J294">
        <v>2.595015401458804</v>
      </c>
      <c r="K294">
        <v>0</v>
      </c>
      <c r="L294">
        <v>0</v>
      </c>
      <c r="M294">
        <v>2.595015401458804</v>
      </c>
      <c r="N294">
        <v>0</v>
      </c>
    </row>
    <row r="295" spans="9:14" x14ac:dyDescent="0.3">
      <c r="I295">
        <v>292</v>
      </c>
      <c r="J295">
        <v>1.764302988197981</v>
      </c>
      <c r="K295">
        <v>1</v>
      </c>
      <c r="L295">
        <v>1.4274282384019359</v>
      </c>
      <c r="M295">
        <v>3.191731226599916</v>
      </c>
      <c r="N295">
        <v>0</v>
      </c>
    </row>
    <row r="296" spans="9:14" x14ac:dyDescent="0.3">
      <c r="I296">
        <v>293</v>
      </c>
      <c r="J296">
        <v>1.550788464135084</v>
      </c>
      <c r="K296">
        <v>1</v>
      </c>
      <c r="L296">
        <v>1.4705664724618339</v>
      </c>
      <c r="M296">
        <v>3.0213549365969179</v>
      </c>
      <c r="N296">
        <v>0</v>
      </c>
    </row>
    <row r="297" spans="9:14" x14ac:dyDescent="0.3">
      <c r="I297">
        <v>294</v>
      </c>
      <c r="J297">
        <v>1.9196931614912369</v>
      </c>
      <c r="K297">
        <v>0</v>
      </c>
      <c r="L297">
        <v>0</v>
      </c>
      <c r="M297">
        <v>1.9196931614912369</v>
      </c>
      <c r="N297">
        <v>1</v>
      </c>
    </row>
    <row r="298" spans="9:14" x14ac:dyDescent="0.3">
      <c r="I298">
        <v>295</v>
      </c>
      <c r="J298">
        <v>2.4484545750050191</v>
      </c>
      <c r="K298">
        <v>1</v>
      </c>
      <c r="L298">
        <v>1.6063491302145909</v>
      </c>
      <c r="M298">
        <v>4.0548037052196104</v>
      </c>
      <c r="N298">
        <v>0</v>
      </c>
    </row>
    <row r="299" spans="9:14" x14ac:dyDescent="0.3">
      <c r="I299">
        <v>296</v>
      </c>
      <c r="J299">
        <v>2.8494471376396682</v>
      </c>
      <c r="K299">
        <v>1</v>
      </c>
      <c r="L299">
        <v>1.7403966364857359</v>
      </c>
      <c r="M299">
        <v>4.5898437741254039</v>
      </c>
      <c r="N299">
        <v>0</v>
      </c>
    </row>
    <row r="300" spans="9:14" x14ac:dyDescent="0.3">
      <c r="I300">
        <v>297</v>
      </c>
      <c r="J300">
        <v>2.0763297563802769</v>
      </c>
      <c r="K300">
        <v>1</v>
      </c>
      <c r="L300">
        <v>1.2415426416587501</v>
      </c>
      <c r="M300">
        <v>3.317872398039027</v>
      </c>
      <c r="N300">
        <v>0</v>
      </c>
    </row>
    <row r="301" spans="9:14" x14ac:dyDescent="0.3">
      <c r="I301">
        <v>298</v>
      </c>
      <c r="J301">
        <v>1.8555044441348409</v>
      </c>
      <c r="K301">
        <v>0</v>
      </c>
      <c r="L301">
        <v>0</v>
      </c>
      <c r="M301">
        <v>1.8555044441348409</v>
      </c>
      <c r="N301">
        <v>1</v>
      </c>
    </row>
    <row r="302" spans="9:14" x14ac:dyDescent="0.3">
      <c r="I302">
        <v>299</v>
      </c>
      <c r="J302">
        <v>2.0866744461207238</v>
      </c>
      <c r="K302">
        <v>0</v>
      </c>
      <c r="L302">
        <v>0</v>
      </c>
      <c r="M302">
        <v>2.0866744461207238</v>
      </c>
      <c r="N302">
        <v>0</v>
      </c>
    </row>
    <row r="303" spans="9:14" x14ac:dyDescent="0.3">
      <c r="I303">
        <v>300</v>
      </c>
      <c r="J303">
        <v>1.260577148610494</v>
      </c>
      <c r="K303">
        <v>0</v>
      </c>
      <c r="L303">
        <v>0</v>
      </c>
      <c r="M303">
        <v>1.260577148610494</v>
      </c>
      <c r="N303">
        <v>1</v>
      </c>
    </row>
    <row r="304" spans="9:14" x14ac:dyDescent="0.3">
      <c r="I304">
        <v>301</v>
      </c>
      <c r="J304">
        <v>1.458553321023961</v>
      </c>
      <c r="K304">
        <v>1</v>
      </c>
      <c r="L304">
        <v>1.899198980386039</v>
      </c>
      <c r="M304">
        <v>3.3577523014100001</v>
      </c>
      <c r="N304">
        <v>0</v>
      </c>
    </row>
    <row r="305" spans="9:14" x14ac:dyDescent="0.3">
      <c r="I305">
        <v>302</v>
      </c>
      <c r="J305">
        <v>1.9309776141054691</v>
      </c>
      <c r="K305">
        <v>1</v>
      </c>
      <c r="L305">
        <v>1.5334847820445701</v>
      </c>
      <c r="M305">
        <v>3.4644623961500391</v>
      </c>
      <c r="N305">
        <v>0</v>
      </c>
    </row>
    <row r="306" spans="9:14" x14ac:dyDescent="0.3">
      <c r="I306">
        <v>303</v>
      </c>
      <c r="J306">
        <v>1.909949455616752</v>
      </c>
      <c r="K306">
        <v>1</v>
      </c>
      <c r="L306">
        <v>1.6927287564587989</v>
      </c>
      <c r="M306">
        <v>3.6026782120755501</v>
      </c>
      <c r="N306">
        <v>0</v>
      </c>
    </row>
    <row r="307" spans="9:14" x14ac:dyDescent="0.3">
      <c r="I307">
        <v>304</v>
      </c>
      <c r="J307">
        <v>2.008478534950437</v>
      </c>
      <c r="K307">
        <v>0</v>
      </c>
      <c r="L307">
        <v>0</v>
      </c>
      <c r="M307">
        <v>2.008478534950437</v>
      </c>
      <c r="N307">
        <v>0</v>
      </c>
    </row>
    <row r="308" spans="9:14" x14ac:dyDescent="0.3">
      <c r="I308">
        <v>305</v>
      </c>
      <c r="J308">
        <v>2.583182956082946</v>
      </c>
      <c r="K308">
        <v>0</v>
      </c>
      <c r="L308">
        <v>0</v>
      </c>
      <c r="M308">
        <v>2.583182956082946</v>
      </c>
      <c r="N308">
        <v>0</v>
      </c>
    </row>
    <row r="309" spans="9:14" x14ac:dyDescent="0.3">
      <c r="I309">
        <v>306</v>
      </c>
      <c r="J309">
        <v>2.7336152561104128</v>
      </c>
      <c r="K309">
        <v>1</v>
      </c>
      <c r="L309">
        <v>1.1372636983474911</v>
      </c>
      <c r="M309">
        <v>3.8708789544579041</v>
      </c>
      <c r="N309">
        <v>0</v>
      </c>
    </row>
    <row r="310" spans="9:14" x14ac:dyDescent="0.3">
      <c r="I310">
        <v>307</v>
      </c>
      <c r="J310">
        <v>2.2905836277717269</v>
      </c>
      <c r="K310">
        <v>1</v>
      </c>
      <c r="L310">
        <v>1.1697048633647991</v>
      </c>
      <c r="M310">
        <v>3.4602884911365259</v>
      </c>
      <c r="N310">
        <v>0</v>
      </c>
    </row>
    <row r="311" spans="9:14" x14ac:dyDescent="0.3">
      <c r="I311">
        <v>308</v>
      </c>
      <c r="J311">
        <v>2.0854089554131212</v>
      </c>
      <c r="K311">
        <v>1</v>
      </c>
      <c r="L311">
        <v>1.553154371994907</v>
      </c>
      <c r="M311">
        <v>3.6385633274080278</v>
      </c>
      <c r="N311">
        <v>0</v>
      </c>
    </row>
    <row r="312" spans="9:14" x14ac:dyDescent="0.3">
      <c r="I312">
        <v>309</v>
      </c>
      <c r="J312">
        <v>2.108660331258752</v>
      </c>
      <c r="K312">
        <v>1</v>
      </c>
      <c r="L312">
        <v>1.0447909722844551</v>
      </c>
      <c r="M312">
        <v>3.153451303543207</v>
      </c>
      <c r="N312">
        <v>0</v>
      </c>
    </row>
    <row r="313" spans="9:14" x14ac:dyDescent="0.3">
      <c r="I313">
        <v>310</v>
      </c>
      <c r="J313">
        <v>1.493698465933939</v>
      </c>
      <c r="K313">
        <v>1</v>
      </c>
      <c r="L313">
        <v>1.267436245553534</v>
      </c>
      <c r="M313">
        <v>2.7611347114874731</v>
      </c>
      <c r="N313">
        <v>0</v>
      </c>
    </row>
    <row r="314" spans="9:14" x14ac:dyDescent="0.3">
      <c r="I314">
        <v>311</v>
      </c>
      <c r="J314">
        <v>1.679255149102248</v>
      </c>
      <c r="K314">
        <v>1</v>
      </c>
      <c r="L314">
        <v>1.3709516778705571</v>
      </c>
      <c r="M314">
        <v>3.050206826972806</v>
      </c>
      <c r="N314">
        <v>0</v>
      </c>
    </row>
    <row r="315" spans="9:14" x14ac:dyDescent="0.3">
      <c r="I315">
        <v>312</v>
      </c>
      <c r="J315">
        <v>2.2815719011826161</v>
      </c>
      <c r="K315">
        <v>0</v>
      </c>
      <c r="L315">
        <v>0</v>
      </c>
      <c r="M315">
        <v>2.2815719011826161</v>
      </c>
      <c r="N315">
        <v>0</v>
      </c>
    </row>
    <row r="316" spans="9:14" x14ac:dyDescent="0.3">
      <c r="I316">
        <v>313</v>
      </c>
      <c r="J316">
        <v>2.3026438662276858</v>
      </c>
      <c r="K316">
        <v>1</v>
      </c>
      <c r="L316">
        <v>1.971897134238251</v>
      </c>
      <c r="M316">
        <v>4.2745410004659368</v>
      </c>
      <c r="N316">
        <v>0</v>
      </c>
    </row>
    <row r="317" spans="9:14" x14ac:dyDescent="0.3">
      <c r="I317">
        <v>314</v>
      </c>
      <c r="J317">
        <v>2.441352801010725</v>
      </c>
      <c r="K317">
        <v>1</v>
      </c>
      <c r="L317">
        <v>1.6961961453232131</v>
      </c>
      <c r="M317">
        <v>4.1375489463339381</v>
      </c>
      <c r="N317">
        <v>0</v>
      </c>
    </row>
    <row r="318" spans="9:14" x14ac:dyDescent="0.3">
      <c r="I318">
        <v>315</v>
      </c>
      <c r="J318">
        <v>2.3230624163259361</v>
      </c>
      <c r="K318">
        <v>1</v>
      </c>
      <c r="L318">
        <v>1.5912110885812349</v>
      </c>
      <c r="M318">
        <v>3.91427350490717</v>
      </c>
      <c r="N318">
        <v>0</v>
      </c>
    </row>
    <row r="319" spans="9:14" x14ac:dyDescent="0.3">
      <c r="I319">
        <v>316</v>
      </c>
      <c r="J319">
        <v>1.292622219928887</v>
      </c>
      <c r="K319">
        <v>0</v>
      </c>
      <c r="L319">
        <v>0</v>
      </c>
      <c r="M319">
        <v>1.292622219928887</v>
      </c>
      <c r="N319">
        <v>1</v>
      </c>
    </row>
    <row r="320" spans="9:14" x14ac:dyDescent="0.3">
      <c r="I320">
        <v>317</v>
      </c>
      <c r="J320">
        <v>1.160916679306399</v>
      </c>
      <c r="K320">
        <v>1</v>
      </c>
      <c r="L320">
        <v>1.7739770060533</v>
      </c>
      <c r="M320">
        <v>2.934893685359699</v>
      </c>
      <c r="N320">
        <v>0</v>
      </c>
    </row>
    <row r="321" spans="9:14" x14ac:dyDescent="0.3">
      <c r="I321">
        <v>318</v>
      </c>
      <c r="J321">
        <v>1.6312481277310851</v>
      </c>
      <c r="K321">
        <v>0</v>
      </c>
      <c r="L321">
        <v>0</v>
      </c>
      <c r="M321">
        <v>1.6312481277310851</v>
      </c>
      <c r="N321">
        <v>1</v>
      </c>
    </row>
    <row r="322" spans="9:14" x14ac:dyDescent="0.3">
      <c r="I322">
        <v>319</v>
      </c>
      <c r="J322">
        <v>2.0431834960308159</v>
      </c>
      <c r="K322">
        <v>1</v>
      </c>
      <c r="L322">
        <v>1.569305777400811</v>
      </c>
      <c r="M322">
        <v>3.6124892734316258</v>
      </c>
      <c r="N322">
        <v>0</v>
      </c>
    </row>
    <row r="323" spans="9:14" x14ac:dyDescent="0.3">
      <c r="I323">
        <v>320</v>
      </c>
      <c r="J323">
        <v>1.9794468027168191</v>
      </c>
      <c r="K323">
        <v>0</v>
      </c>
      <c r="L323">
        <v>0</v>
      </c>
      <c r="M323">
        <v>1.9794468027168191</v>
      </c>
      <c r="N323">
        <v>1</v>
      </c>
    </row>
    <row r="324" spans="9:14" x14ac:dyDescent="0.3">
      <c r="I324">
        <v>321</v>
      </c>
      <c r="J324">
        <v>1.948185916736533</v>
      </c>
      <c r="K324">
        <v>0</v>
      </c>
      <c r="L324">
        <v>0</v>
      </c>
      <c r="M324">
        <v>1.948185916736533</v>
      </c>
      <c r="N324">
        <v>1</v>
      </c>
    </row>
    <row r="325" spans="9:14" x14ac:dyDescent="0.3">
      <c r="I325">
        <v>322</v>
      </c>
      <c r="J325">
        <v>1.8813204882178061</v>
      </c>
      <c r="K325">
        <v>0</v>
      </c>
      <c r="L325">
        <v>0</v>
      </c>
      <c r="M325">
        <v>1.8813204882178061</v>
      </c>
      <c r="N325">
        <v>1</v>
      </c>
    </row>
    <row r="326" spans="9:14" x14ac:dyDescent="0.3">
      <c r="I326">
        <v>323</v>
      </c>
      <c r="J326">
        <v>2.6197677661966252</v>
      </c>
      <c r="K326">
        <v>0</v>
      </c>
      <c r="L326">
        <v>0</v>
      </c>
      <c r="M326">
        <v>2.6197677661966252</v>
      </c>
      <c r="N326">
        <v>0</v>
      </c>
    </row>
    <row r="327" spans="9:14" x14ac:dyDescent="0.3">
      <c r="I327">
        <v>324</v>
      </c>
      <c r="J327">
        <v>2.0382304889929448</v>
      </c>
      <c r="K327">
        <v>1</v>
      </c>
      <c r="L327">
        <v>1.765891010872519</v>
      </c>
      <c r="M327">
        <v>3.804121499865464</v>
      </c>
      <c r="N327">
        <v>0</v>
      </c>
    </row>
    <row r="328" spans="9:14" x14ac:dyDescent="0.3">
      <c r="I328">
        <v>325</v>
      </c>
      <c r="J328">
        <v>1.9407960358116909</v>
      </c>
      <c r="K328">
        <v>1</v>
      </c>
      <c r="L328">
        <v>1.29976917774838</v>
      </c>
      <c r="M328">
        <v>3.2405652135600711</v>
      </c>
      <c r="N328">
        <v>0</v>
      </c>
    </row>
    <row r="329" spans="9:14" x14ac:dyDescent="0.3">
      <c r="I329">
        <v>326</v>
      </c>
      <c r="J329">
        <v>2.1283330022625542</v>
      </c>
      <c r="K329">
        <v>0</v>
      </c>
      <c r="L329">
        <v>0</v>
      </c>
      <c r="M329">
        <v>2.1283330022625542</v>
      </c>
      <c r="N329">
        <v>0</v>
      </c>
    </row>
    <row r="330" spans="9:14" x14ac:dyDescent="0.3">
      <c r="I330">
        <v>327</v>
      </c>
      <c r="J330">
        <v>1.591702747229784</v>
      </c>
      <c r="K330">
        <v>1</v>
      </c>
      <c r="L330">
        <v>1.003631121394049</v>
      </c>
      <c r="M330">
        <v>2.595333868623833</v>
      </c>
      <c r="N330">
        <v>0</v>
      </c>
    </row>
    <row r="331" spans="9:14" x14ac:dyDescent="0.3">
      <c r="I331">
        <v>328</v>
      </c>
      <c r="J331">
        <v>2.691332978061407</v>
      </c>
      <c r="K331">
        <v>1</v>
      </c>
      <c r="L331">
        <v>1.5967835647358171</v>
      </c>
      <c r="M331">
        <v>4.2881165427972254</v>
      </c>
      <c r="N331">
        <v>0</v>
      </c>
    </row>
    <row r="332" spans="9:14" x14ac:dyDescent="0.3">
      <c r="I332">
        <v>329</v>
      </c>
      <c r="J332">
        <v>2.322726295300451</v>
      </c>
      <c r="K332">
        <v>1</v>
      </c>
      <c r="L332">
        <v>1.7252985290251091</v>
      </c>
      <c r="M332">
        <v>4.0480248243255614</v>
      </c>
      <c r="N332">
        <v>0</v>
      </c>
    </row>
    <row r="333" spans="9:14" x14ac:dyDescent="0.3">
      <c r="I333">
        <v>330</v>
      </c>
      <c r="J333">
        <v>2.4276052613340342</v>
      </c>
      <c r="K333">
        <v>1</v>
      </c>
      <c r="L333">
        <v>1.293994858965178</v>
      </c>
      <c r="M333">
        <v>3.7216001202992119</v>
      </c>
      <c r="N333">
        <v>0</v>
      </c>
    </row>
    <row r="334" spans="9:14" x14ac:dyDescent="0.3">
      <c r="I334">
        <v>331</v>
      </c>
      <c r="J334">
        <v>2.1866768081826411</v>
      </c>
      <c r="K334">
        <v>0</v>
      </c>
      <c r="L334">
        <v>0</v>
      </c>
      <c r="M334">
        <v>2.1866768081826411</v>
      </c>
      <c r="N334">
        <v>0</v>
      </c>
    </row>
    <row r="335" spans="9:14" x14ac:dyDescent="0.3">
      <c r="I335">
        <v>332</v>
      </c>
      <c r="J335">
        <v>2.420183402382504</v>
      </c>
      <c r="K335">
        <v>1</v>
      </c>
      <c r="L335">
        <v>1.766154969620203</v>
      </c>
      <c r="M335">
        <v>4.186338372002707</v>
      </c>
      <c r="N335">
        <v>0</v>
      </c>
    </row>
    <row r="336" spans="9:14" x14ac:dyDescent="0.3">
      <c r="I336">
        <v>333</v>
      </c>
      <c r="J336">
        <v>2.5133597002646551</v>
      </c>
      <c r="K336">
        <v>0</v>
      </c>
      <c r="L336">
        <v>0</v>
      </c>
      <c r="M336">
        <v>2.5133597002646551</v>
      </c>
      <c r="N336">
        <v>0</v>
      </c>
    </row>
    <row r="337" spans="9:14" x14ac:dyDescent="0.3">
      <c r="I337">
        <v>334</v>
      </c>
      <c r="J337">
        <v>1.623434784669419</v>
      </c>
      <c r="K337">
        <v>1</v>
      </c>
      <c r="L337">
        <v>1.228669327003719</v>
      </c>
      <c r="M337">
        <v>2.852104111673138</v>
      </c>
      <c r="N337">
        <v>0</v>
      </c>
    </row>
    <row r="338" spans="9:14" x14ac:dyDescent="0.3">
      <c r="I338">
        <v>335</v>
      </c>
      <c r="J338">
        <v>1.1897587389872519</v>
      </c>
      <c r="K338">
        <v>1</v>
      </c>
      <c r="L338">
        <v>1.8945969056708369</v>
      </c>
      <c r="M338">
        <v>3.08435564465809</v>
      </c>
      <c r="N338">
        <v>0</v>
      </c>
    </row>
    <row r="339" spans="9:14" x14ac:dyDescent="0.3">
      <c r="I339">
        <v>336</v>
      </c>
      <c r="J339">
        <v>2.9016040637934402</v>
      </c>
      <c r="K339">
        <v>1</v>
      </c>
      <c r="L339">
        <v>1.951791705095306</v>
      </c>
      <c r="M339">
        <v>4.8533957688887446</v>
      </c>
      <c r="N339">
        <v>0</v>
      </c>
    </row>
    <row r="340" spans="9:14" x14ac:dyDescent="0.3">
      <c r="I340">
        <v>337</v>
      </c>
      <c r="J340">
        <v>1.537191774997654</v>
      </c>
      <c r="K340">
        <v>0</v>
      </c>
      <c r="L340">
        <v>0</v>
      </c>
      <c r="M340">
        <v>1.537191774997654</v>
      </c>
      <c r="N340">
        <v>1</v>
      </c>
    </row>
    <row r="341" spans="9:14" x14ac:dyDescent="0.3">
      <c r="I341">
        <v>338</v>
      </c>
      <c r="J341">
        <v>2.1018412221812608</v>
      </c>
      <c r="K341">
        <v>1</v>
      </c>
      <c r="L341">
        <v>1.764313330456849</v>
      </c>
      <c r="M341">
        <v>3.8661545526381098</v>
      </c>
      <c r="N341">
        <v>0</v>
      </c>
    </row>
    <row r="342" spans="9:14" x14ac:dyDescent="0.3">
      <c r="I342">
        <v>339</v>
      </c>
      <c r="J342">
        <v>1.9579406070817189</v>
      </c>
      <c r="K342">
        <v>0</v>
      </c>
      <c r="L342">
        <v>0</v>
      </c>
      <c r="M342">
        <v>1.9579406070817189</v>
      </c>
      <c r="N342">
        <v>1</v>
      </c>
    </row>
    <row r="343" spans="9:14" x14ac:dyDescent="0.3">
      <c r="I343">
        <v>340</v>
      </c>
      <c r="J343">
        <v>2.480997609325295</v>
      </c>
      <c r="K343">
        <v>0</v>
      </c>
      <c r="L343">
        <v>0</v>
      </c>
      <c r="M343">
        <v>2.480997609325295</v>
      </c>
      <c r="N343">
        <v>0</v>
      </c>
    </row>
    <row r="344" spans="9:14" x14ac:dyDescent="0.3">
      <c r="I344">
        <v>341</v>
      </c>
      <c r="J344">
        <v>1.233627224717585</v>
      </c>
      <c r="K344">
        <v>1</v>
      </c>
      <c r="L344">
        <v>1.8523559917144179</v>
      </c>
      <c r="M344">
        <v>3.085983216432004</v>
      </c>
      <c r="N344">
        <v>0</v>
      </c>
    </row>
    <row r="345" spans="9:14" x14ac:dyDescent="0.3">
      <c r="I345">
        <v>342</v>
      </c>
      <c r="J345">
        <v>1.750068901374874</v>
      </c>
      <c r="K345">
        <v>0</v>
      </c>
      <c r="L345">
        <v>0</v>
      </c>
      <c r="M345">
        <v>1.750068901374874</v>
      </c>
      <c r="N345">
        <v>1</v>
      </c>
    </row>
    <row r="346" spans="9:14" x14ac:dyDescent="0.3">
      <c r="I346">
        <v>343</v>
      </c>
      <c r="J346">
        <v>2.440460986490959</v>
      </c>
      <c r="K346">
        <v>1</v>
      </c>
      <c r="L346">
        <v>1.632748183002356</v>
      </c>
      <c r="M346">
        <v>4.0732091694933157</v>
      </c>
      <c r="N346">
        <v>0</v>
      </c>
    </row>
    <row r="347" spans="9:14" x14ac:dyDescent="0.3">
      <c r="I347">
        <v>344</v>
      </c>
      <c r="J347">
        <v>2.18434418892878</v>
      </c>
      <c r="K347">
        <v>1</v>
      </c>
      <c r="L347">
        <v>1.0193085386026579</v>
      </c>
      <c r="M347">
        <v>3.2036527275314368</v>
      </c>
      <c r="N347">
        <v>0</v>
      </c>
    </row>
    <row r="348" spans="9:14" x14ac:dyDescent="0.3">
      <c r="I348">
        <v>345</v>
      </c>
      <c r="J348">
        <v>2.0715241302125569</v>
      </c>
      <c r="K348">
        <v>1</v>
      </c>
      <c r="L348">
        <v>1.599584655939368</v>
      </c>
      <c r="M348">
        <v>3.6711087861519252</v>
      </c>
      <c r="N348">
        <v>0</v>
      </c>
    </row>
    <row r="349" spans="9:14" x14ac:dyDescent="0.3">
      <c r="I349">
        <v>346</v>
      </c>
      <c r="J349">
        <v>1.848814028474929</v>
      </c>
      <c r="K349">
        <v>1</v>
      </c>
      <c r="L349">
        <v>1.034371754567234</v>
      </c>
      <c r="M349">
        <v>2.8831857830421632</v>
      </c>
      <c r="N349">
        <v>0</v>
      </c>
    </row>
    <row r="350" spans="9:14" x14ac:dyDescent="0.3">
      <c r="I350">
        <v>347</v>
      </c>
      <c r="J350">
        <v>2.2490510458542712</v>
      </c>
      <c r="K350">
        <v>0</v>
      </c>
      <c r="L350">
        <v>0</v>
      </c>
      <c r="M350">
        <v>2.2490510458542712</v>
      </c>
      <c r="N350">
        <v>0</v>
      </c>
    </row>
    <row r="351" spans="9:14" x14ac:dyDescent="0.3">
      <c r="I351">
        <v>348</v>
      </c>
      <c r="J351">
        <v>1.497967705058189</v>
      </c>
      <c r="K351">
        <v>0</v>
      </c>
      <c r="L351">
        <v>0</v>
      </c>
      <c r="M351">
        <v>1.497967705058189</v>
      </c>
      <c r="N351">
        <v>1</v>
      </c>
    </row>
    <row r="352" spans="9:14" x14ac:dyDescent="0.3">
      <c r="I352">
        <v>349</v>
      </c>
      <c r="J352">
        <v>1.2437024765715969</v>
      </c>
      <c r="K352">
        <v>0</v>
      </c>
      <c r="L352">
        <v>0</v>
      </c>
      <c r="M352">
        <v>1.2437024765715969</v>
      </c>
      <c r="N352">
        <v>1</v>
      </c>
    </row>
    <row r="353" spans="9:14" x14ac:dyDescent="0.3">
      <c r="I353">
        <v>350</v>
      </c>
      <c r="J353">
        <v>1.42222863097427</v>
      </c>
      <c r="K353">
        <v>0</v>
      </c>
      <c r="L353">
        <v>0</v>
      </c>
      <c r="M353">
        <v>1.42222863097427</v>
      </c>
      <c r="N353">
        <v>1</v>
      </c>
    </row>
    <row r="354" spans="9:14" x14ac:dyDescent="0.3">
      <c r="I354">
        <v>351</v>
      </c>
      <c r="J354">
        <v>2.203067876484107</v>
      </c>
      <c r="K354">
        <v>0</v>
      </c>
      <c r="L354">
        <v>0</v>
      </c>
      <c r="M354">
        <v>2.203067876484107</v>
      </c>
      <c r="N354">
        <v>0</v>
      </c>
    </row>
    <row r="355" spans="9:14" x14ac:dyDescent="0.3">
      <c r="I355">
        <v>352</v>
      </c>
      <c r="J355">
        <v>1.681994859803688</v>
      </c>
      <c r="K355">
        <v>0</v>
      </c>
      <c r="L355">
        <v>0</v>
      </c>
      <c r="M355">
        <v>1.681994859803688</v>
      </c>
      <c r="N355">
        <v>1</v>
      </c>
    </row>
    <row r="356" spans="9:14" x14ac:dyDescent="0.3">
      <c r="I356">
        <v>353</v>
      </c>
      <c r="J356">
        <v>1.495709450746465</v>
      </c>
      <c r="K356">
        <v>1</v>
      </c>
      <c r="L356">
        <v>1.8163225255199871</v>
      </c>
      <c r="M356">
        <v>3.3120319762664518</v>
      </c>
      <c r="N356">
        <v>0</v>
      </c>
    </row>
    <row r="357" spans="9:14" x14ac:dyDescent="0.3">
      <c r="I357">
        <v>354</v>
      </c>
      <c r="J357">
        <v>2.460699195472217</v>
      </c>
      <c r="K357">
        <v>1</v>
      </c>
      <c r="L357">
        <v>1.3501176596732181</v>
      </c>
      <c r="M357">
        <v>3.8108168551454349</v>
      </c>
      <c r="N357">
        <v>0</v>
      </c>
    </row>
    <row r="358" spans="9:14" x14ac:dyDescent="0.3">
      <c r="I358">
        <v>355</v>
      </c>
      <c r="J358">
        <v>2.2066683795451172</v>
      </c>
      <c r="K358">
        <v>1</v>
      </c>
      <c r="L358">
        <v>1.7478826564518339</v>
      </c>
      <c r="M358">
        <v>3.9545510359969511</v>
      </c>
      <c r="N358">
        <v>0</v>
      </c>
    </row>
    <row r="359" spans="9:14" x14ac:dyDescent="0.3">
      <c r="I359">
        <v>356</v>
      </c>
      <c r="J359">
        <v>2.1480400300138638</v>
      </c>
      <c r="K359">
        <v>1</v>
      </c>
      <c r="L359">
        <v>1.851638318054396</v>
      </c>
      <c r="M359">
        <v>3.9996783480682598</v>
      </c>
      <c r="N359">
        <v>0</v>
      </c>
    </row>
    <row r="360" spans="9:14" x14ac:dyDescent="0.3">
      <c r="I360">
        <v>357</v>
      </c>
      <c r="J360">
        <v>2.4665921817475902</v>
      </c>
      <c r="K360">
        <v>0</v>
      </c>
      <c r="L360">
        <v>0</v>
      </c>
      <c r="M360">
        <v>2.4665921817475902</v>
      </c>
      <c r="N360">
        <v>0</v>
      </c>
    </row>
    <row r="361" spans="9:14" x14ac:dyDescent="0.3">
      <c r="I361">
        <v>358</v>
      </c>
      <c r="J361">
        <v>2.0729430666546049</v>
      </c>
      <c r="K361">
        <v>1</v>
      </c>
      <c r="L361">
        <v>1.845685837522393</v>
      </c>
      <c r="M361">
        <v>3.9186289041769982</v>
      </c>
      <c r="N361">
        <v>0</v>
      </c>
    </row>
    <row r="362" spans="9:14" x14ac:dyDescent="0.3">
      <c r="I362">
        <v>359</v>
      </c>
      <c r="J362">
        <v>2.0470217121460221</v>
      </c>
      <c r="K362">
        <v>0</v>
      </c>
      <c r="L362">
        <v>0</v>
      </c>
      <c r="M362">
        <v>2.0470217121460221</v>
      </c>
      <c r="N362">
        <v>0</v>
      </c>
    </row>
    <row r="363" spans="9:14" x14ac:dyDescent="0.3">
      <c r="I363">
        <v>360</v>
      </c>
      <c r="J363">
        <v>2.4645068667618988</v>
      </c>
      <c r="K363">
        <v>1</v>
      </c>
      <c r="L363">
        <v>1.702030614613893</v>
      </c>
      <c r="M363">
        <v>4.1665374813757916</v>
      </c>
      <c r="N363">
        <v>0</v>
      </c>
    </row>
    <row r="364" spans="9:14" x14ac:dyDescent="0.3">
      <c r="I364">
        <v>361</v>
      </c>
      <c r="J364">
        <v>2.1598965023948531</v>
      </c>
      <c r="K364">
        <v>0</v>
      </c>
      <c r="L364">
        <v>0</v>
      </c>
      <c r="M364">
        <v>2.1598965023948531</v>
      </c>
      <c r="N364">
        <v>0</v>
      </c>
    </row>
    <row r="365" spans="9:14" x14ac:dyDescent="0.3">
      <c r="I365">
        <v>362</v>
      </c>
      <c r="J365">
        <v>2.249569819367975</v>
      </c>
      <c r="K365">
        <v>1</v>
      </c>
      <c r="L365">
        <v>1.5736446403879749</v>
      </c>
      <c r="M365">
        <v>3.8232144597559512</v>
      </c>
      <c r="N365">
        <v>0</v>
      </c>
    </row>
    <row r="366" spans="9:14" x14ac:dyDescent="0.3">
      <c r="I366">
        <v>363</v>
      </c>
      <c r="J366">
        <v>1.423363633017489</v>
      </c>
      <c r="K366">
        <v>1</v>
      </c>
      <c r="L366">
        <v>1.317786114587957</v>
      </c>
      <c r="M366">
        <v>2.7411497476054461</v>
      </c>
      <c r="N366">
        <v>0</v>
      </c>
    </row>
    <row r="367" spans="9:14" x14ac:dyDescent="0.3">
      <c r="I367">
        <v>364</v>
      </c>
      <c r="J367">
        <v>2.321265727492841</v>
      </c>
      <c r="K367">
        <v>1</v>
      </c>
      <c r="L367">
        <v>1.191215527145036</v>
      </c>
      <c r="M367">
        <v>3.5124812546378772</v>
      </c>
      <c r="N367">
        <v>0</v>
      </c>
    </row>
    <row r="368" spans="9:14" x14ac:dyDescent="0.3">
      <c r="I368">
        <v>365</v>
      </c>
      <c r="J368">
        <v>2.117518634400422</v>
      </c>
      <c r="K368">
        <v>1</v>
      </c>
      <c r="L368">
        <v>1.337335080077442</v>
      </c>
      <c r="M368">
        <v>3.4548537144778639</v>
      </c>
      <c r="N368">
        <v>0</v>
      </c>
    </row>
    <row r="369" spans="9:14" x14ac:dyDescent="0.3">
      <c r="I369">
        <v>366</v>
      </c>
      <c r="J369">
        <v>1.466244205697343</v>
      </c>
      <c r="K369">
        <v>1</v>
      </c>
      <c r="L369">
        <v>1.108814676870659</v>
      </c>
      <c r="M369">
        <v>2.5750588825680021</v>
      </c>
      <c r="N369">
        <v>0</v>
      </c>
    </row>
    <row r="370" spans="9:14" x14ac:dyDescent="0.3">
      <c r="I370">
        <v>367</v>
      </c>
      <c r="J370">
        <v>2.4159137701366999</v>
      </c>
      <c r="K370">
        <v>1</v>
      </c>
      <c r="L370">
        <v>1.3170473730600201</v>
      </c>
      <c r="M370">
        <v>3.7329611431967198</v>
      </c>
      <c r="N370">
        <v>0</v>
      </c>
    </row>
    <row r="371" spans="9:14" x14ac:dyDescent="0.3">
      <c r="I371">
        <v>368</v>
      </c>
      <c r="J371">
        <v>1.5826566376519009</v>
      </c>
      <c r="K371">
        <v>0</v>
      </c>
      <c r="L371">
        <v>0</v>
      </c>
      <c r="M371">
        <v>1.5826566376519009</v>
      </c>
      <c r="N371">
        <v>1</v>
      </c>
    </row>
    <row r="372" spans="9:14" x14ac:dyDescent="0.3">
      <c r="I372">
        <v>369</v>
      </c>
      <c r="J372">
        <v>2.2378215856144861</v>
      </c>
      <c r="K372">
        <v>0</v>
      </c>
      <c r="L372">
        <v>0</v>
      </c>
      <c r="M372">
        <v>2.2378215856144861</v>
      </c>
      <c r="N372">
        <v>0</v>
      </c>
    </row>
    <row r="373" spans="9:14" x14ac:dyDescent="0.3">
      <c r="I373">
        <v>370</v>
      </c>
      <c r="J373">
        <v>2.2421360563455681</v>
      </c>
      <c r="K373">
        <v>0</v>
      </c>
      <c r="L373">
        <v>0</v>
      </c>
      <c r="M373">
        <v>2.2421360563455681</v>
      </c>
      <c r="N373">
        <v>0</v>
      </c>
    </row>
    <row r="374" spans="9:14" x14ac:dyDescent="0.3">
      <c r="I374">
        <v>371</v>
      </c>
      <c r="J374">
        <v>1.50613854491365</v>
      </c>
      <c r="K374">
        <v>0</v>
      </c>
      <c r="L374">
        <v>0</v>
      </c>
      <c r="M374">
        <v>1.50613854491365</v>
      </c>
      <c r="N374">
        <v>1</v>
      </c>
    </row>
    <row r="375" spans="9:14" x14ac:dyDescent="0.3">
      <c r="I375">
        <v>372</v>
      </c>
      <c r="J375">
        <v>2.6621625318446278</v>
      </c>
      <c r="K375">
        <v>1</v>
      </c>
      <c r="L375">
        <v>1.9999889771097079</v>
      </c>
      <c r="M375">
        <v>4.6621515089543362</v>
      </c>
      <c r="N375">
        <v>0</v>
      </c>
    </row>
    <row r="376" spans="9:14" x14ac:dyDescent="0.3">
      <c r="I376">
        <v>373</v>
      </c>
      <c r="J376">
        <v>2.602851823840918</v>
      </c>
      <c r="K376">
        <v>0</v>
      </c>
      <c r="L376">
        <v>0</v>
      </c>
      <c r="M376">
        <v>2.602851823840918</v>
      </c>
      <c r="N376">
        <v>0</v>
      </c>
    </row>
    <row r="377" spans="9:14" x14ac:dyDescent="0.3">
      <c r="I377">
        <v>374</v>
      </c>
      <c r="J377">
        <v>1.664907087368636</v>
      </c>
      <c r="K377">
        <v>1</v>
      </c>
      <c r="L377">
        <v>1.580207472576507</v>
      </c>
      <c r="M377">
        <v>3.2451145599451432</v>
      </c>
      <c r="N377">
        <v>0</v>
      </c>
    </row>
    <row r="378" spans="9:14" x14ac:dyDescent="0.3">
      <c r="I378">
        <v>375</v>
      </c>
      <c r="J378">
        <v>2.3281945792437582</v>
      </c>
      <c r="K378">
        <v>0</v>
      </c>
      <c r="L378">
        <v>0</v>
      </c>
      <c r="M378">
        <v>2.3281945792437582</v>
      </c>
      <c r="N378">
        <v>0</v>
      </c>
    </row>
    <row r="379" spans="9:14" x14ac:dyDescent="0.3">
      <c r="I379">
        <v>376</v>
      </c>
      <c r="J379">
        <v>1.8596836158583969</v>
      </c>
      <c r="K379">
        <v>1</v>
      </c>
      <c r="L379">
        <v>1.3432294290576421</v>
      </c>
      <c r="M379">
        <v>3.202913044916039</v>
      </c>
      <c r="N379">
        <v>0</v>
      </c>
    </row>
    <row r="380" spans="9:14" x14ac:dyDescent="0.3">
      <c r="I380">
        <v>377</v>
      </c>
      <c r="J380">
        <v>2.2571552938303769</v>
      </c>
      <c r="K380">
        <v>1</v>
      </c>
      <c r="L380">
        <v>1.1178739191795311</v>
      </c>
      <c r="M380">
        <v>3.375029213009908</v>
      </c>
      <c r="N380">
        <v>0</v>
      </c>
    </row>
    <row r="381" spans="9:14" x14ac:dyDescent="0.3">
      <c r="I381">
        <v>378</v>
      </c>
      <c r="J381">
        <v>1.648834587358984</v>
      </c>
      <c r="K381">
        <v>1</v>
      </c>
      <c r="L381">
        <v>1.430111000520321</v>
      </c>
      <c r="M381">
        <v>3.0789455878793039</v>
      </c>
      <c r="N381">
        <v>0</v>
      </c>
    </row>
    <row r="382" spans="9:14" x14ac:dyDescent="0.3">
      <c r="I382">
        <v>379</v>
      </c>
      <c r="J382">
        <v>2.784197337695427</v>
      </c>
      <c r="K382">
        <v>0</v>
      </c>
      <c r="L382">
        <v>0</v>
      </c>
      <c r="M382">
        <v>2.784197337695427</v>
      </c>
      <c r="N382">
        <v>0</v>
      </c>
    </row>
    <row r="383" spans="9:14" x14ac:dyDescent="0.3">
      <c r="I383">
        <v>380</v>
      </c>
      <c r="J383">
        <v>1.917849229002851</v>
      </c>
      <c r="K383">
        <v>1</v>
      </c>
      <c r="L383">
        <v>1.48401672836823</v>
      </c>
      <c r="M383">
        <v>3.401865957371081</v>
      </c>
      <c r="N383">
        <v>0</v>
      </c>
    </row>
    <row r="384" spans="9:14" x14ac:dyDescent="0.3">
      <c r="I384">
        <v>381</v>
      </c>
      <c r="J384">
        <v>1.351493206336037</v>
      </c>
      <c r="K384">
        <v>1</v>
      </c>
      <c r="L384">
        <v>1.583996715683792</v>
      </c>
      <c r="M384">
        <v>2.9354899220198289</v>
      </c>
      <c r="N384">
        <v>0</v>
      </c>
    </row>
    <row r="385" spans="9:14" x14ac:dyDescent="0.3">
      <c r="I385">
        <v>382</v>
      </c>
      <c r="J385">
        <v>2.807688072677704</v>
      </c>
      <c r="K385">
        <v>1</v>
      </c>
      <c r="L385">
        <v>1.2501201083393749</v>
      </c>
      <c r="M385">
        <v>4.0578081810170792</v>
      </c>
      <c r="N385">
        <v>0</v>
      </c>
    </row>
    <row r="386" spans="9:14" x14ac:dyDescent="0.3">
      <c r="I386">
        <v>383</v>
      </c>
      <c r="J386">
        <v>2.5473700875184968</v>
      </c>
      <c r="K386">
        <v>0</v>
      </c>
      <c r="L386">
        <v>0</v>
      </c>
      <c r="M386">
        <v>2.5473700875184968</v>
      </c>
      <c r="N386">
        <v>0</v>
      </c>
    </row>
    <row r="387" spans="9:14" x14ac:dyDescent="0.3">
      <c r="I387">
        <v>384</v>
      </c>
      <c r="J387">
        <v>1.9677874555661781</v>
      </c>
      <c r="K387">
        <v>0</v>
      </c>
      <c r="L387">
        <v>0</v>
      </c>
      <c r="M387">
        <v>1.9677874555661781</v>
      </c>
      <c r="N387">
        <v>1</v>
      </c>
    </row>
    <row r="388" spans="9:14" x14ac:dyDescent="0.3">
      <c r="I388">
        <v>385</v>
      </c>
      <c r="J388">
        <v>2.3372893652947879</v>
      </c>
      <c r="K388">
        <v>0</v>
      </c>
      <c r="L388">
        <v>0</v>
      </c>
      <c r="M388">
        <v>2.3372893652947879</v>
      </c>
      <c r="N388">
        <v>0</v>
      </c>
    </row>
    <row r="389" spans="9:14" x14ac:dyDescent="0.3">
      <c r="I389">
        <v>386</v>
      </c>
      <c r="J389">
        <v>1.322663616310469</v>
      </c>
      <c r="K389">
        <v>1</v>
      </c>
      <c r="L389">
        <v>1.5711888904859741</v>
      </c>
      <c r="M389">
        <v>2.8938525067964429</v>
      </c>
      <c r="N389">
        <v>0</v>
      </c>
    </row>
    <row r="390" spans="9:14" x14ac:dyDescent="0.3">
      <c r="I390">
        <v>387</v>
      </c>
      <c r="J390">
        <v>1.5939638767937929</v>
      </c>
      <c r="K390">
        <v>0</v>
      </c>
      <c r="L390">
        <v>0</v>
      </c>
      <c r="M390">
        <v>1.5939638767937929</v>
      </c>
      <c r="N390">
        <v>1</v>
      </c>
    </row>
    <row r="391" spans="9:14" x14ac:dyDescent="0.3">
      <c r="I391">
        <v>388</v>
      </c>
      <c r="J391">
        <v>2.5668238615942149</v>
      </c>
      <c r="K391">
        <v>0</v>
      </c>
      <c r="L391">
        <v>0</v>
      </c>
      <c r="M391">
        <v>2.5668238615942149</v>
      </c>
      <c r="N391">
        <v>0</v>
      </c>
    </row>
    <row r="392" spans="9:14" x14ac:dyDescent="0.3">
      <c r="I392">
        <v>389</v>
      </c>
      <c r="J392">
        <v>2.0917134348730939</v>
      </c>
      <c r="K392">
        <v>1</v>
      </c>
      <c r="L392">
        <v>1.6231039741797091</v>
      </c>
      <c r="M392">
        <v>3.7148174090528041</v>
      </c>
      <c r="N392">
        <v>0</v>
      </c>
    </row>
    <row r="393" spans="9:14" x14ac:dyDescent="0.3">
      <c r="I393">
        <v>390</v>
      </c>
      <c r="J393">
        <v>2.0683664886648199</v>
      </c>
      <c r="K393">
        <v>1</v>
      </c>
      <c r="L393">
        <v>1.5066571012102239</v>
      </c>
      <c r="M393">
        <v>3.5750235898750442</v>
      </c>
      <c r="N393">
        <v>0</v>
      </c>
    </row>
    <row r="394" spans="9:14" x14ac:dyDescent="0.3">
      <c r="I394">
        <v>391</v>
      </c>
      <c r="J394">
        <v>2.0329732016969468</v>
      </c>
      <c r="K394">
        <v>1</v>
      </c>
      <c r="L394">
        <v>1.6431777972087049</v>
      </c>
      <c r="M394">
        <v>3.6761509989056518</v>
      </c>
      <c r="N394">
        <v>0</v>
      </c>
    </row>
    <row r="395" spans="9:14" x14ac:dyDescent="0.3">
      <c r="I395">
        <v>392</v>
      </c>
      <c r="J395">
        <v>1.618777104667396</v>
      </c>
      <c r="K395">
        <v>0</v>
      </c>
      <c r="L395">
        <v>0</v>
      </c>
      <c r="M395">
        <v>1.618777104667396</v>
      </c>
      <c r="N395">
        <v>1</v>
      </c>
    </row>
    <row r="396" spans="9:14" x14ac:dyDescent="0.3">
      <c r="I396">
        <v>393</v>
      </c>
      <c r="J396">
        <v>1.931063289650305</v>
      </c>
      <c r="K396">
        <v>1</v>
      </c>
      <c r="L396">
        <v>1.2544266531461421</v>
      </c>
      <c r="M396">
        <v>3.1854899427964471</v>
      </c>
      <c r="N396">
        <v>0</v>
      </c>
    </row>
    <row r="397" spans="9:14" x14ac:dyDescent="0.3">
      <c r="I397">
        <v>394</v>
      </c>
      <c r="J397">
        <v>2.2948868111975811</v>
      </c>
      <c r="K397">
        <v>1</v>
      </c>
      <c r="L397">
        <v>1.6124924168369319</v>
      </c>
      <c r="M397">
        <v>3.9073792280345119</v>
      </c>
      <c r="N397">
        <v>0</v>
      </c>
    </row>
    <row r="398" spans="9:14" x14ac:dyDescent="0.3">
      <c r="I398">
        <v>395</v>
      </c>
      <c r="J398">
        <v>2.0356343740196281</v>
      </c>
      <c r="K398">
        <v>0</v>
      </c>
      <c r="L398">
        <v>0</v>
      </c>
      <c r="M398">
        <v>2.0356343740196281</v>
      </c>
      <c r="N398">
        <v>0</v>
      </c>
    </row>
    <row r="399" spans="9:14" x14ac:dyDescent="0.3">
      <c r="I399">
        <v>396</v>
      </c>
      <c r="J399">
        <v>2.517995600185166</v>
      </c>
      <c r="K399">
        <v>0</v>
      </c>
      <c r="L399">
        <v>0</v>
      </c>
      <c r="M399">
        <v>2.517995600185166</v>
      </c>
      <c r="N399">
        <v>0</v>
      </c>
    </row>
    <row r="400" spans="9:14" x14ac:dyDescent="0.3">
      <c r="I400">
        <v>397</v>
      </c>
      <c r="J400">
        <v>1.804064677435357</v>
      </c>
      <c r="K400">
        <v>0</v>
      </c>
      <c r="L400">
        <v>0</v>
      </c>
      <c r="M400">
        <v>1.804064677435357</v>
      </c>
      <c r="N400">
        <v>1</v>
      </c>
    </row>
    <row r="401" spans="9:14" x14ac:dyDescent="0.3">
      <c r="I401">
        <v>398</v>
      </c>
      <c r="J401">
        <v>2.5077294727279331</v>
      </c>
      <c r="K401">
        <v>1</v>
      </c>
      <c r="L401">
        <v>1.385977167071015</v>
      </c>
      <c r="M401">
        <v>3.8937066397989479</v>
      </c>
      <c r="N401">
        <v>0</v>
      </c>
    </row>
    <row r="402" spans="9:14" x14ac:dyDescent="0.3">
      <c r="I402">
        <v>399</v>
      </c>
      <c r="J402">
        <v>2.2281341830427239</v>
      </c>
      <c r="K402">
        <v>0</v>
      </c>
      <c r="L402">
        <v>0</v>
      </c>
      <c r="M402">
        <v>2.2281341830427239</v>
      </c>
      <c r="N402">
        <v>0</v>
      </c>
    </row>
    <row r="403" spans="9:14" x14ac:dyDescent="0.3">
      <c r="I403">
        <v>400</v>
      </c>
      <c r="J403">
        <v>2.370115540370938</v>
      </c>
      <c r="K403">
        <v>1</v>
      </c>
      <c r="L403">
        <v>1.0820811282937961</v>
      </c>
      <c r="M403">
        <v>3.4521966686647341</v>
      </c>
      <c r="N403">
        <v>0</v>
      </c>
    </row>
    <row r="404" spans="9:14" x14ac:dyDescent="0.3">
      <c r="I404">
        <v>401</v>
      </c>
      <c r="J404">
        <v>2.287885801404518</v>
      </c>
      <c r="K404">
        <v>0</v>
      </c>
      <c r="L404">
        <v>0</v>
      </c>
      <c r="M404">
        <v>2.287885801404518</v>
      </c>
      <c r="N404">
        <v>0</v>
      </c>
    </row>
    <row r="405" spans="9:14" x14ac:dyDescent="0.3">
      <c r="I405">
        <v>402</v>
      </c>
      <c r="J405">
        <v>1.7918147401456279</v>
      </c>
      <c r="K405">
        <v>0</v>
      </c>
      <c r="L405">
        <v>0</v>
      </c>
      <c r="M405">
        <v>1.7918147401456279</v>
      </c>
      <c r="N405">
        <v>1</v>
      </c>
    </row>
    <row r="406" spans="9:14" x14ac:dyDescent="0.3">
      <c r="I406">
        <v>403</v>
      </c>
      <c r="J406">
        <v>2.0215635981306588</v>
      </c>
      <c r="K406">
        <v>0</v>
      </c>
      <c r="L406">
        <v>0</v>
      </c>
      <c r="M406">
        <v>2.0215635981306588</v>
      </c>
      <c r="N406">
        <v>0</v>
      </c>
    </row>
    <row r="407" spans="9:14" x14ac:dyDescent="0.3">
      <c r="I407">
        <v>404</v>
      </c>
      <c r="J407">
        <v>2.043907904293774</v>
      </c>
      <c r="K407">
        <v>0</v>
      </c>
      <c r="L407">
        <v>0</v>
      </c>
      <c r="M407">
        <v>2.043907904293774</v>
      </c>
      <c r="N407">
        <v>0</v>
      </c>
    </row>
    <row r="408" spans="9:14" x14ac:dyDescent="0.3">
      <c r="I408">
        <v>405</v>
      </c>
      <c r="J408">
        <v>1.470950873565039</v>
      </c>
      <c r="K408">
        <v>1</v>
      </c>
      <c r="L408">
        <v>1.4938948761979509</v>
      </c>
      <c r="M408">
        <v>2.9648457497629899</v>
      </c>
      <c r="N408">
        <v>0</v>
      </c>
    </row>
    <row r="409" spans="9:14" x14ac:dyDescent="0.3">
      <c r="I409">
        <v>406</v>
      </c>
      <c r="J409">
        <v>1.443081993411464</v>
      </c>
      <c r="K409">
        <v>0</v>
      </c>
      <c r="L409">
        <v>0</v>
      </c>
      <c r="M409">
        <v>1.443081993411464</v>
      </c>
      <c r="N409">
        <v>1</v>
      </c>
    </row>
    <row r="410" spans="9:14" x14ac:dyDescent="0.3">
      <c r="I410">
        <v>407</v>
      </c>
      <c r="J410">
        <v>2.25545911574737</v>
      </c>
      <c r="K410">
        <v>1</v>
      </c>
      <c r="L410">
        <v>1.046539088782223</v>
      </c>
      <c r="M410">
        <v>3.3019982045295939</v>
      </c>
      <c r="N410">
        <v>0</v>
      </c>
    </row>
    <row r="411" spans="9:14" x14ac:dyDescent="0.3">
      <c r="I411">
        <v>408</v>
      </c>
      <c r="J411">
        <v>1.488333909492364</v>
      </c>
      <c r="K411">
        <v>0</v>
      </c>
      <c r="L411">
        <v>0</v>
      </c>
      <c r="M411">
        <v>1.488333909492364</v>
      </c>
      <c r="N411">
        <v>1</v>
      </c>
    </row>
    <row r="412" spans="9:14" x14ac:dyDescent="0.3">
      <c r="I412">
        <v>409</v>
      </c>
      <c r="J412">
        <v>1.701462082939744</v>
      </c>
      <c r="K412">
        <v>1</v>
      </c>
      <c r="L412">
        <v>1.1314990980017581</v>
      </c>
      <c r="M412">
        <v>2.8329611809415018</v>
      </c>
      <c r="N412">
        <v>0</v>
      </c>
    </row>
    <row r="413" spans="9:14" x14ac:dyDescent="0.3">
      <c r="I413">
        <v>410</v>
      </c>
      <c r="J413">
        <v>1.7070513229311279</v>
      </c>
      <c r="K413">
        <v>0</v>
      </c>
      <c r="L413">
        <v>0</v>
      </c>
      <c r="M413">
        <v>1.7070513229311279</v>
      </c>
      <c r="N413">
        <v>1</v>
      </c>
    </row>
    <row r="414" spans="9:14" x14ac:dyDescent="0.3">
      <c r="I414">
        <v>411</v>
      </c>
      <c r="J414">
        <v>1.636162820231386</v>
      </c>
      <c r="K414">
        <v>0</v>
      </c>
      <c r="L414">
        <v>0</v>
      </c>
      <c r="M414">
        <v>1.636162820231386</v>
      </c>
      <c r="N414">
        <v>1</v>
      </c>
    </row>
    <row r="415" spans="9:14" x14ac:dyDescent="0.3">
      <c r="I415">
        <v>412</v>
      </c>
      <c r="J415">
        <v>1.6570866992481439</v>
      </c>
      <c r="K415">
        <v>1</v>
      </c>
      <c r="L415">
        <v>1.4540893407477229</v>
      </c>
      <c r="M415">
        <v>3.111176039995867</v>
      </c>
      <c r="N415">
        <v>0</v>
      </c>
    </row>
    <row r="416" spans="9:14" x14ac:dyDescent="0.3">
      <c r="I416">
        <v>413</v>
      </c>
      <c r="J416">
        <v>1.475796825762141</v>
      </c>
      <c r="K416">
        <v>0</v>
      </c>
      <c r="L416">
        <v>0</v>
      </c>
      <c r="M416">
        <v>1.475796825762141</v>
      </c>
      <c r="N416">
        <v>1</v>
      </c>
    </row>
    <row r="417" spans="9:14" x14ac:dyDescent="0.3">
      <c r="I417">
        <v>414</v>
      </c>
      <c r="J417">
        <v>1.8875901045982799</v>
      </c>
      <c r="K417">
        <v>0</v>
      </c>
      <c r="L417">
        <v>0</v>
      </c>
      <c r="M417">
        <v>1.8875901045982799</v>
      </c>
      <c r="N417">
        <v>1</v>
      </c>
    </row>
    <row r="418" spans="9:14" x14ac:dyDescent="0.3">
      <c r="I418">
        <v>415</v>
      </c>
      <c r="J418">
        <v>2.3748614142473952</v>
      </c>
      <c r="K418">
        <v>0</v>
      </c>
      <c r="L418">
        <v>0</v>
      </c>
      <c r="M418">
        <v>2.3748614142473952</v>
      </c>
      <c r="N418">
        <v>0</v>
      </c>
    </row>
    <row r="419" spans="9:14" x14ac:dyDescent="0.3">
      <c r="I419">
        <v>416</v>
      </c>
      <c r="J419">
        <v>1.8430049566694251</v>
      </c>
      <c r="K419">
        <v>0</v>
      </c>
      <c r="L419">
        <v>0</v>
      </c>
      <c r="M419">
        <v>1.8430049566694251</v>
      </c>
      <c r="N419">
        <v>1</v>
      </c>
    </row>
    <row r="420" spans="9:14" x14ac:dyDescent="0.3">
      <c r="I420">
        <v>417</v>
      </c>
      <c r="J420">
        <v>1.3764774934720001</v>
      </c>
      <c r="K420">
        <v>1</v>
      </c>
      <c r="L420">
        <v>1.459174492159288</v>
      </c>
      <c r="M420">
        <v>2.8356519856312881</v>
      </c>
      <c r="N420">
        <v>0</v>
      </c>
    </row>
    <row r="421" spans="9:14" x14ac:dyDescent="0.3">
      <c r="I421">
        <v>418</v>
      </c>
      <c r="J421">
        <v>2.0377031121956679</v>
      </c>
      <c r="K421">
        <v>0</v>
      </c>
      <c r="L421">
        <v>0</v>
      </c>
      <c r="M421">
        <v>2.0377031121956679</v>
      </c>
      <c r="N421">
        <v>0</v>
      </c>
    </row>
    <row r="422" spans="9:14" x14ac:dyDescent="0.3">
      <c r="I422">
        <v>419</v>
      </c>
      <c r="J422">
        <v>2.1018824791296158</v>
      </c>
      <c r="K422">
        <v>1</v>
      </c>
      <c r="L422">
        <v>1.3514543180734231</v>
      </c>
      <c r="M422">
        <v>3.4533367972030389</v>
      </c>
      <c r="N422">
        <v>0</v>
      </c>
    </row>
    <row r="423" spans="9:14" x14ac:dyDescent="0.3">
      <c r="I423">
        <v>420</v>
      </c>
      <c r="J423">
        <v>2.011834499589106</v>
      </c>
      <c r="K423">
        <v>0</v>
      </c>
      <c r="L423">
        <v>0</v>
      </c>
      <c r="M423">
        <v>2.011834499589106</v>
      </c>
      <c r="N423">
        <v>0</v>
      </c>
    </row>
    <row r="424" spans="9:14" x14ac:dyDescent="0.3">
      <c r="I424">
        <v>421</v>
      </c>
      <c r="J424">
        <v>1.6395658465879099</v>
      </c>
      <c r="K424">
        <v>0</v>
      </c>
      <c r="L424">
        <v>0</v>
      </c>
      <c r="M424">
        <v>1.6395658465879099</v>
      </c>
      <c r="N424">
        <v>1</v>
      </c>
    </row>
    <row r="425" spans="9:14" x14ac:dyDescent="0.3">
      <c r="I425">
        <v>422</v>
      </c>
      <c r="J425">
        <v>1.9711714888141381</v>
      </c>
      <c r="K425">
        <v>0</v>
      </c>
      <c r="L425">
        <v>0</v>
      </c>
      <c r="M425">
        <v>1.9711714888141381</v>
      </c>
      <c r="N425">
        <v>1</v>
      </c>
    </row>
    <row r="426" spans="9:14" x14ac:dyDescent="0.3">
      <c r="I426">
        <v>423</v>
      </c>
      <c r="J426">
        <v>2.042250723510397</v>
      </c>
      <c r="K426">
        <v>1</v>
      </c>
      <c r="L426">
        <v>1.582995239674678</v>
      </c>
      <c r="M426">
        <v>3.6252459631850749</v>
      </c>
      <c r="N426">
        <v>0</v>
      </c>
    </row>
    <row r="427" spans="9:14" x14ac:dyDescent="0.3">
      <c r="I427">
        <v>424</v>
      </c>
      <c r="J427">
        <v>1.6664756091963999</v>
      </c>
      <c r="K427">
        <v>1</v>
      </c>
      <c r="L427">
        <v>1.073451275811893</v>
      </c>
      <c r="M427">
        <v>2.739926885008293</v>
      </c>
      <c r="N427">
        <v>0</v>
      </c>
    </row>
    <row r="428" spans="9:14" x14ac:dyDescent="0.3">
      <c r="I428">
        <v>425</v>
      </c>
      <c r="J428">
        <v>1.618880245280313</v>
      </c>
      <c r="K428">
        <v>0</v>
      </c>
      <c r="L428">
        <v>0</v>
      </c>
      <c r="M428">
        <v>1.618880245280313</v>
      </c>
      <c r="N428">
        <v>1</v>
      </c>
    </row>
    <row r="429" spans="9:14" x14ac:dyDescent="0.3">
      <c r="I429">
        <v>426</v>
      </c>
      <c r="J429">
        <v>2.7392514911916179</v>
      </c>
      <c r="K429">
        <v>0</v>
      </c>
      <c r="L429">
        <v>0</v>
      </c>
      <c r="M429">
        <v>2.7392514911916179</v>
      </c>
      <c r="N429">
        <v>0</v>
      </c>
    </row>
    <row r="430" spans="9:14" x14ac:dyDescent="0.3">
      <c r="I430">
        <v>427</v>
      </c>
      <c r="J430">
        <v>1.1353202212899041</v>
      </c>
      <c r="K430">
        <v>1</v>
      </c>
      <c r="L430">
        <v>1.4778156238014011</v>
      </c>
      <c r="M430">
        <v>2.6131358450913051</v>
      </c>
      <c r="N430">
        <v>0</v>
      </c>
    </row>
    <row r="431" spans="9:14" x14ac:dyDescent="0.3">
      <c r="I431">
        <v>428</v>
      </c>
      <c r="J431">
        <v>1.7451890127123499</v>
      </c>
      <c r="K431">
        <v>0</v>
      </c>
      <c r="L431">
        <v>0</v>
      </c>
      <c r="M431">
        <v>1.7451890127123499</v>
      </c>
      <c r="N431">
        <v>1</v>
      </c>
    </row>
    <row r="432" spans="9:14" x14ac:dyDescent="0.3">
      <c r="I432">
        <v>429</v>
      </c>
      <c r="J432">
        <v>1.8092823702118641</v>
      </c>
      <c r="K432">
        <v>0</v>
      </c>
      <c r="L432">
        <v>0</v>
      </c>
      <c r="M432">
        <v>1.8092823702118641</v>
      </c>
      <c r="N432">
        <v>1</v>
      </c>
    </row>
    <row r="433" spans="9:14" x14ac:dyDescent="0.3">
      <c r="I433">
        <v>430</v>
      </c>
      <c r="J433">
        <v>1.9403788048713979</v>
      </c>
      <c r="K433">
        <v>0</v>
      </c>
      <c r="L433">
        <v>0</v>
      </c>
      <c r="M433">
        <v>1.9403788048713979</v>
      </c>
      <c r="N433">
        <v>1</v>
      </c>
    </row>
    <row r="434" spans="9:14" x14ac:dyDescent="0.3">
      <c r="I434">
        <v>431</v>
      </c>
      <c r="J434">
        <v>1.787123778608628</v>
      </c>
      <c r="K434">
        <v>0</v>
      </c>
      <c r="L434">
        <v>0</v>
      </c>
      <c r="M434">
        <v>1.787123778608628</v>
      </c>
      <c r="N434">
        <v>1</v>
      </c>
    </row>
    <row r="435" spans="9:14" x14ac:dyDescent="0.3">
      <c r="I435">
        <v>432</v>
      </c>
      <c r="J435">
        <v>2.280675544409255</v>
      </c>
      <c r="K435">
        <v>0</v>
      </c>
      <c r="L435">
        <v>0</v>
      </c>
      <c r="M435">
        <v>2.280675544409255</v>
      </c>
      <c r="N435">
        <v>0</v>
      </c>
    </row>
    <row r="436" spans="9:14" x14ac:dyDescent="0.3">
      <c r="I436">
        <v>433</v>
      </c>
      <c r="J436">
        <v>2.1275193644088728</v>
      </c>
      <c r="K436">
        <v>0</v>
      </c>
      <c r="L436">
        <v>0</v>
      </c>
      <c r="M436">
        <v>2.1275193644088728</v>
      </c>
      <c r="N436">
        <v>0</v>
      </c>
    </row>
    <row r="437" spans="9:14" x14ac:dyDescent="0.3">
      <c r="I437">
        <v>434</v>
      </c>
      <c r="J437">
        <v>1.832121062326808</v>
      </c>
      <c r="K437">
        <v>1</v>
      </c>
      <c r="L437">
        <v>1.6031510243311891</v>
      </c>
      <c r="M437">
        <v>3.4352720866579971</v>
      </c>
      <c r="N437">
        <v>0</v>
      </c>
    </row>
    <row r="438" spans="9:14" x14ac:dyDescent="0.3">
      <c r="I438">
        <v>435</v>
      </c>
      <c r="J438">
        <v>2.4020805478235001</v>
      </c>
      <c r="K438">
        <v>0</v>
      </c>
      <c r="L438">
        <v>0</v>
      </c>
      <c r="M438">
        <v>2.4020805478235001</v>
      </c>
      <c r="N438">
        <v>0</v>
      </c>
    </row>
    <row r="439" spans="9:14" x14ac:dyDescent="0.3">
      <c r="I439">
        <v>436</v>
      </c>
      <c r="J439">
        <v>1.988552221340655</v>
      </c>
      <c r="K439">
        <v>1</v>
      </c>
      <c r="L439">
        <v>1.803187334628841</v>
      </c>
      <c r="M439">
        <v>3.791739555969496</v>
      </c>
      <c r="N439">
        <v>0</v>
      </c>
    </row>
    <row r="440" spans="9:14" x14ac:dyDescent="0.3">
      <c r="I440">
        <v>437</v>
      </c>
      <c r="J440">
        <v>2.303716882811135</v>
      </c>
      <c r="K440">
        <v>0</v>
      </c>
      <c r="L440">
        <v>0</v>
      </c>
      <c r="M440">
        <v>2.303716882811135</v>
      </c>
      <c r="N440">
        <v>0</v>
      </c>
    </row>
    <row r="441" spans="9:14" x14ac:dyDescent="0.3">
      <c r="I441">
        <v>438</v>
      </c>
      <c r="J441">
        <v>1.5887534463638351</v>
      </c>
      <c r="K441">
        <v>1</v>
      </c>
      <c r="L441">
        <v>1.5389184555759301</v>
      </c>
      <c r="M441">
        <v>3.127671901939765</v>
      </c>
      <c r="N441">
        <v>0</v>
      </c>
    </row>
    <row r="442" spans="9:14" x14ac:dyDescent="0.3">
      <c r="I442">
        <v>439</v>
      </c>
      <c r="J442">
        <v>2.6647343920421691</v>
      </c>
      <c r="K442">
        <v>0</v>
      </c>
      <c r="L442">
        <v>0</v>
      </c>
      <c r="M442">
        <v>2.6647343920421691</v>
      </c>
      <c r="N442">
        <v>0</v>
      </c>
    </row>
    <row r="443" spans="9:14" x14ac:dyDescent="0.3">
      <c r="I443">
        <v>440</v>
      </c>
      <c r="J443">
        <v>1.9074160948514891</v>
      </c>
      <c r="K443">
        <v>0</v>
      </c>
      <c r="L443">
        <v>0</v>
      </c>
      <c r="M443">
        <v>1.9074160948514891</v>
      </c>
      <c r="N443">
        <v>1</v>
      </c>
    </row>
    <row r="444" spans="9:14" x14ac:dyDescent="0.3">
      <c r="I444">
        <v>441</v>
      </c>
      <c r="J444">
        <v>1.9770422996771131</v>
      </c>
      <c r="K444">
        <v>1</v>
      </c>
      <c r="L444">
        <v>1.688397940383271</v>
      </c>
      <c r="M444">
        <v>3.6654402400603838</v>
      </c>
      <c r="N444">
        <v>0</v>
      </c>
    </row>
    <row r="445" spans="9:14" x14ac:dyDescent="0.3">
      <c r="I445">
        <v>442</v>
      </c>
      <c r="J445">
        <v>2.0447840563387292</v>
      </c>
      <c r="K445">
        <v>1</v>
      </c>
      <c r="L445">
        <v>1.589925747951733</v>
      </c>
      <c r="M445">
        <v>3.6347098042904609</v>
      </c>
      <c r="N445">
        <v>0</v>
      </c>
    </row>
    <row r="446" spans="9:14" x14ac:dyDescent="0.3">
      <c r="I446">
        <v>443</v>
      </c>
      <c r="J446">
        <v>1.721827910188422</v>
      </c>
      <c r="K446">
        <v>1</v>
      </c>
      <c r="L446">
        <v>1.950721966230436</v>
      </c>
      <c r="M446">
        <v>3.672549876418858</v>
      </c>
      <c r="N446">
        <v>0</v>
      </c>
    </row>
    <row r="447" spans="9:14" x14ac:dyDescent="0.3">
      <c r="I447">
        <v>444</v>
      </c>
      <c r="J447">
        <v>1.944405682198016</v>
      </c>
      <c r="K447">
        <v>1</v>
      </c>
      <c r="L447">
        <v>1.593606386176714</v>
      </c>
      <c r="M447">
        <v>3.53801206837473</v>
      </c>
      <c r="N447">
        <v>0</v>
      </c>
    </row>
    <row r="448" spans="9:14" x14ac:dyDescent="0.3">
      <c r="I448">
        <v>445</v>
      </c>
      <c r="J448">
        <v>1.726074330331874</v>
      </c>
      <c r="K448">
        <v>1</v>
      </c>
      <c r="L448">
        <v>1.187503356431767</v>
      </c>
      <c r="M448">
        <v>2.9135776867636412</v>
      </c>
      <c r="N448">
        <v>0</v>
      </c>
    </row>
    <row r="449" spans="9:14" x14ac:dyDescent="0.3">
      <c r="I449">
        <v>446</v>
      </c>
      <c r="J449">
        <v>2.3775403936053379</v>
      </c>
      <c r="K449">
        <v>0</v>
      </c>
      <c r="L449">
        <v>0</v>
      </c>
      <c r="M449">
        <v>2.3775403936053379</v>
      </c>
      <c r="N449">
        <v>0</v>
      </c>
    </row>
    <row r="450" spans="9:14" x14ac:dyDescent="0.3">
      <c r="I450">
        <v>447</v>
      </c>
      <c r="J450">
        <v>1.8935785320051379</v>
      </c>
      <c r="K450">
        <v>1</v>
      </c>
      <c r="L450">
        <v>1.426775266254209</v>
      </c>
      <c r="M450">
        <v>3.320353798259347</v>
      </c>
      <c r="N450">
        <v>0</v>
      </c>
    </row>
    <row r="451" spans="9:14" x14ac:dyDescent="0.3">
      <c r="I451">
        <v>448</v>
      </c>
      <c r="J451">
        <v>1.742994202047218</v>
      </c>
      <c r="K451">
        <v>0</v>
      </c>
      <c r="L451">
        <v>0</v>
      </c>
      <c r="M451">
        <v>1.742994202047218</v>
      </c>
      <c r="N451">
        <v>1</v>
      </c>
    </row>
    <row r="452" spans="9:14" x14ac:dyDescent="0.3">
      <c r="I452">
        <v>449</v>
      </c>
      <c r="J452">
        <v>2.3052460175548992</v>
      </c>
      <c r="K452">
        <v>1</v>
      </c>
      <c r="L452">
        <v>1.612916730369407</v>
      </c>
      <c r="M452">
        <v>3.9181627479243062</v>
      </c>
      <c r="N452">
        <v>0</v>
      </c>
    </row>
    <row r="453" spans="9:14" x14ac:dyDescent="0.3">
      <c r="I453">
        <v>450</v>
      </c>
      <c r="J453">
        <v>2.0755228069590821</v>
      </c>
      <c r="K453">
        <v>1</v>
      </c>
      <c r="L453">
        <v>1.7490123708028731</v>
      </c>
      <c r="M453">
        <v>3.824535177761955</v>
      </c>
      <c r="N453">
        <v>0</v>
      </c>
    </row>
    <row r="454" spans="9:14" x14ac:dyDescent="0.3">
      <c r="I454">
        <v>451</v>
      </c>
      <c r="J454">
        <v>1.5536974922773481</v>
      </c>
      <c r="K454">
        <v>1</v>
      </c>
      <c r="L454">
        <v>1.858570938123036</v>
      </c>
      <c r="M454">
        <v>3.4122684304003839</v>
      </c>
      <c r="N454">
        <v>0</v>
      </c>
    </row>
    <row r="455" spans="9:14" x14ac:dyDescent="0.3">
      <c r="I455">
        <v>452</v>
      </c>
      <c r="J455">
        <v>1.6708157644088051</v>
      </c>
      <c r="K455">
        <v>0</v>
      </c>
      <c r="L455">
        <v>0</v>
      </c>
      <c r="M455">
        <v>1.6708157644088051</v>
      </c>
      <c r="N455">
        <v>1</v>
      </c>
    </row>
    <row r="456" spans="9:14" x14ac:dyDescent="0.3">
      <c r="I456">
        <v>453</v>
      </c>
      <c r="J456">
        <v>2.1304065669152279</v>
      </c>
      <c r="K456">
        <v>0</v>
      </c>
      <c r="L456">
        <v>0</v>
      </c>
      <c r="M456">
        <v>2.1304065669152279</v>
      </c>
      <c r="N456">
        <v>0</v>
      </c>
    </row>
    <row r="457" spans="9:14" x14ac:dyDescent="0.3">
      <c r="I457">
        <v>454</v>
      </c>
      <c r="J457">
        <v>1.5987487689172479</v>
      </c>
      <c r="K457">
        <v>1</v>
      </c>
      <c r="L457">
        <v>1.955083257819755</v>
      </c>
      <c r="M457">
        <v>3.553832026737004</v>
      </c>
      <c r="N457">
        <v>0</v>
      </c>
    </row>
    <row r="458" spans="9:14" x14ac:dyDescent="0.3">
      <c r="I458">
        <v>455</v>
      </c>
      <c r="J458">
        <v>2.0340569269544901</v>
      </c>
      <c r="K458">
        <v>1</v>
      </c>
      <c r="L458">
        <v>1.3272985385361069</v>
      </c>
      <c r="M458">
        <v>3.3613554654905968</v>
      </c>
      <c r="N458">
        <v>0</v>
      </c>
    </row>
    <row r="459" spans="9:14" x14ac:dyDescent="0.3">
      <c r="I459">
        <v>456</v>
      </c>
      <c r="J459">
        <v>2.5684003896200802</v>
      </c>
      <c r="K459">
        <v>1</v>
      </c>
      <c r="L459">
        <v>1.4480730940520929</v>
      </c>
      <c r="M459">
        <v>4.0164734836721721</v>
      </c>
      <c r="N459">
        <v>0</v>
      </c>
    </row>
    <row r="460" spans="9:14" x14ac:dyDescent="0.3">
      <c r="I460">
        <v>457</v>
      </c>
      <c r="J460">
        <v>1.9964445331876559</v>
      </c>
      <c r="K460">
        <v>0</v>
      </c>
      <c r="L460">
        <v>0</v>
      </c>
      <c r="M460">
        <v>1.9964445331876559</v>
      </c>
      <c r="N460">
        <v>1</v>
      </c>
    </row>
    <row r="461" spans="9:14" x14ac:dyDescent="0.3">
      <c r="I461">
        <v>458</v>
      </c>
      <c r="J461">
        <v>2.219422641474623</v>
      </c>
      <c r="K461">
        <v>0</v>
      </c>
      <c r="L461">
        <v>0</v>
      </c>
      <c r="M461">
        <v>2.219422641474623</v>
      </c>
      <c r="N461">
        <v>0</v>
      </c>
    </row>
    <row r="462" spans="9:14" x14ac:dyDescent="0.3">
      <c r="I462">
        <v>459</v>
      </c>
      <c r="J462">
        <v>2.2682722210565309</v>
      </c>
      <c r="K462">
        <v>0</v>
      </c>
      <c r="L462">
        <v>0</v>
      </c>
      <c r="M462">
        <v>2.2682722210565309</v>
      </c>
      <c r="N462">
        <v>0</v>
      </c>
    </row>
    <row r="463" spans="9:14" x14ac:dyDescent="0.3">
      <c r="I463">
        <v>460</v>
      </c>
      <c r="J463">
        <v>1.942645319732323</v>
      </c>
      <c r="K463">
        <v>1</v>
      </c>
      <c r="L463">
        <v>1.4635451399754309</v>
      </c>
      <c r="M463">
        <v>3.4061904597077541</v>
      </c>
      <c r="N463">
        <v>0</v>
      </c>
    </row>
    <row r="464" spans="9:14" x14ac:dyDescent="0.3">
      <c r="I464">
        <v>461</v>
      </c>
      <c r="J464">
        <v>1.752177266974855</v>
      </c>
      <c r="K464">
        <v>1</v>
      </c>
      <c r="L464">
        <v>1.542779018019659</v>
      </c>
      <c r="M464">
        <v>3.2949562849945142</v>
      </c>
      <c r="N464">
        <v>0</v>
      </c>
    </row>
    <row r="465" spans="9:14" x14ac:dyDescent="0.3">
      <c r="I465">
        <v>462</v>
      </c>
      <c r="J465">
        <v>2.3636786175289002</v>
      </c>
      <c r="K465">
        <v>0</v>
      </c>
      <c r="L465">
        <v>0</v>
      </c>
      <c r="M465">
        <v>2.3636786175289002</v>
      </c>
      <c r="N465">
        <v>0</v>
      </c>
    </row>
    <row r="466" spans="9:14" x14ac:dyDescent="0.3">
      <c r="I466">
        <v>463</v>
      </c>
      <c r="J466">
        <v>2.185996664706499</v>
      </c>
      <c r="K466">
        <v>0</v>
      </c>
      <c r="L466">
        <v>0</v>
      </c>
      <c r="M466">
        <v>2.185996664706499</v>
      </c>
      <c r="N466">
        <v>0</v>
      </c>
    </row>
    <row r="467" spans="9:14" x14ac:dyDescent="0.3">
      <c r="I467">
        <v>464</v>
      </c>
      <c r="J467">
        <v>2.0269885221408268</v>
      </c>
      <c r="K467">
        <v>1</v>
      </c>
      <c r="L467">
        <v>1.43475595312332</v>
      </c>
      <c r="M467">
        <v>3.4617444752641471</v>
      </c>
      <c r="N467">
        <v>0</v>
      </c>
    </row>
    <row r="468" spans="9:14" x14ac:dyDescent="0.3">
      <c r="I468">
        <v>465</v>
      </c>
      <c r="J468">
        <v>2.8207970838552239</v>
      </c>
      <c r="K468">
        <v>0</v>
      </c>
      <c r="L468">
        <v>0</v>
      </c>
      <c r="M468">
        <v>2.8207970838552239</v>
      </c>
      <c r="N468">
        <v>0</v>
      </c>
    </row>
    <row r="469" spans="9:14" x14ac:dyDescent="0.3">
      <c r="I469">
        <v>466</v>
      </c>
      <c r="J469">
        <v>1.565507948291246</v>
      </c>
      <c r="K469">
        <v>1</v>
      </c>
      <c r="L469">
        <v>1.06790821445645</v>
      </c>
      <c r="M469">
        <v>2.6334161627476962</v>
      </c>
      <c r="N469">
        <v>0</v>
      </c>
    </row>
    <row r="470" spans="9:14" x14ac:dyDescent="0.3">
      <c r="I470">
        <v>467</v>
      </c>
      <c r="J470">
        <v>1.989340570273112</v>
      </c>
      <c r="K470">
        <v>1</v>
      </c>
      <c r="L470">
        <v>1.1642256181412809</v>
      </c>
      <c r="M470">
        <v>3.1535661884143931</v>
      </c>
      <c r="N470">
        <v>0</v>
      </c>
    </row>
    <row r="471" spans="9:14" x14ac:dyDescent="0.3">
      <c r="I471">
        <v>468</v>
      </c>
      <c r="J471">
        <v>1.6156341508830501</v>
      </c>
      <c r="K471">
        <v>1</v>
      </c>
      <c r="L471">
        <v>1.251545501236611</v>
      </c>
      <c r="M471">
        <v>2.8671796521196611</v>
      </c>
      <c r="N471">
        <v>0</v>
      </c>
    </row>
    <row r="472" spans="9:14" x14ac:dyDescent="0.3">
      <c r="I472">
        <v>469</v>
      </c>
      <c r="J472">
        <v>1.652322361754929</v>
      </c>
      <c r="K472">
        <v>0</v>
      </c>
      <c r="L472">
        <v>0</v>
      </c>
      <c r="M472">
        <v>1.652322361754929</v>
      </c>
      <c r="N472">
        <v>1</v>
      </c>
    </row>
    <row r="473" spans="9:14" x14ac:dyDescent="0.3">
      <c r="I473">
        <v>470</v>
      </c>
      <c r="J473">
        <v>1.664519503961714</v>
      </c>
      <c r="K473">
        <v>0</v>
      </c>
      <c r="L473">
        <v>0</v>
      </c>
      <c r="M473">
        <v>1.664519503961714</v>
      </c>
      <c r="N473">
        <v>1</v>
      </c>
    </row>
    <row r="474" spans="9:14" x14ac:dyDescent="0.3">
      <c r="I474">
        <v>471</v>
      </c>
      <c r="J474">
        <v>1.4675533192017469</v>
      </c>
      <c r="K474">
        <v>1</v>
      </c>
      <c r="L474">
        <v>1.4585631368621741</v>
      </c>
      <c r="M474">
        <v>2.9261164560639221</v>
      </c>
      <c r="N474">
        <v>0</v>
      </c>
    </row>
    <row r="475" spans="9:14" x14ac:dyDescent="0.3">
      <c r="I475">
        <v>472</v>
      </c>
      <c r="J475">
        <v>2.0284850115237001</v>
      </c>
      <c r="K475">
        <v>1</v>
      </c>
      <c r="L475">
        <v>1.1061289780505841</v>
      </c>
      <c r="M475">
        <v>3.1346139895742842</v>
      </c>
      <c r="N475">
        <v>0</v>
      </c>
    </row>
    <row r="476" spans="9:14" x14ac:dyDescent="0.3">
      <c r="I476">
        <v>473</v>
      </c>
      <c r="J476">
        <v>2.8366014131498192</v>
      </c>
      <c r="K476">
        <v>0</v>
      </c>
      <c r="L476">
        <v>0</v>
      </c>
      <c r="M476">
        <v>2.8366014131498192</v>
      </c>
      <c r="N476">
        <v>0</v>
      </c>
    </row>
    <row r="477" spans="9:14" x14ac:dyDescent="0.3">
      <c r="I477">
        <v>474</v>
      </c>
      <c r="J477">
        <v>2.337755337216894</v>
      </c>
      <c r="K477">
        <v>1</v>
      </c>
      <c r="L477">
        <v>1.9921522243562511</v>
      </c>
      <c r="M477">
        <v>4.3299075615731448</v>
      </c>
      <c r="N477">
        <v>0</v>
      </c>
    </row>
    <row r="478" spans="9:14" x14ac:dyDescent="0.3">
      <c r="I478">
        <v>475</v>
      </c>
      <c r="J478">
        <v>2.3512779173404512</v>
      </c>
      <c r="K478">
        <v>0</v>
      </c>
      <c r="L478">
        <v>0</v>
      </c>
      <c r="M478">
        <v>2.3512779173404512</v>
      </c>
      <c r="N478">
        <v>0</v>
      </c>
    </row>
    <row r="479" spans="9:14" x14ac:dyDescent="0.3">
      <c r="I479">
        <v>476</v>
      </c>
      <c r="J479">
        <v>1.5211878229757581</v>
      </c>
      <c r="K479">
        <v>0</v>
      </c>
      <c r="L479">
        <v>0</v>
      </c>
      <c r="M479">
        <v>1.5211878229757581</v>
      </c>
      <c r="N479">
        <v>1</v>
      </c>
    </row>
    <row r="480" spans="9:14" x14ac:dyDescent="0.3">
      <c r="I480">
        <v>477</v>
      </c>
      <c r="J480">
        <v>1.5094946253989949</v>
      </c>
      <c r="K480">
        <v>1</v>
      </c>
      <c r="L480">
        <v>1.2857523951431049</v>
      </c>
      <c r="M480">
        <v>2.7952470205420998</v>
      </c>
      <c r="N480">
        <v>0</v>
      </c>
    </row>
    <row r="481" spans="9:14" x14ac:dyDescent="0.3">
      <c r="I481">
        <v>478</v>
      </c>
      <c r="J481">
        <v>1.3365938083924309</v>
      </c>
      <c r="K481">
        <v>1</v>
      </c>
      <c r="L481">
        <v>1.288385257670779</v>
      </c>
      <c r="M481">
        <v>2.6249790660632102</v>
      </c>
      <c r="N481">
        <v>0</v>
      </c>
    </row>
    <row r="482" spans="9:14" x14ac:dyDescent="0.3">
      <c r="I482">
        <v>479</v>
      </c>
      <c r="J482">
        <v>2.4258510639567978</v>
      </c>
      <c r="K482">
        <v>0</v>
      </c>
      <c r="L482">
        <v>0</v>
      </c>
      <c r="M482">
        <v>2.4258510639567978</v>
      </c>
      <c r="N482">
        <v>0</v>
      </c>
    </row>
    <row r="483" spans="9:14" x14ac:dyDescent="0.3">
      <c r="I483">
        <v>480</v>
      </c>
      <c r="J483">
        <v>2.2307919661243441</v>
      </c>
      <c r="K483">
        <v>1</v>
      </c>
      <c r="L483">
        <v>1.8751772327692919</v>
      </c>
      <c r="M483">
        <v>4.1059691988936367</v>
      </c>
      <c r="N483">
        <v>0</v>
      </c>
    </row>
    <row r="484" spans="9:14" x14ac:dyDescent="0.3">
      <c r="I484">
        <v>481</v>
      </c>
      <c r="J484">
        <v>2.5956280200946442</v>
      </c>
      <c r="K484">
        <v>0</v>
      </c>
      <c r="L484">
        <v>0</v>
      </c>
      <c r="M484">
        <v>2.5956280200946442</v>
      </c>
      <c r="N484">
        <v>0</v>
      </c>
    </row>
    <row r="485" spans="9:14" x14ac:dyDescent="0.3">
      <c r="I485">
        <v>482</v>
      </c>
      <c r="J485">
        <v>1.412133030066175</v>
      </c>
      <c r="K485">
        <v>0</v>
      </c>
      <c r="L485">
        <v>0</v>
      </c>
      <c r="M485">
        <v>1.412133030066175</v>
      </c>
      <c r="N485">
        <v>1</v>
      </c>
    </row>
    <row r="486" spans="9:14" x14ac:dyDescent="0.3">
      <c r="I486">
        <v>483</v>
      </c>
      <c r="J486">
        <v>2.606011792926016</v>
      </c>
      <c r="K486">
        <v>0</v>
      </c>
      <c r="L486">
        <v>0</v>
      </c>
      <c r="M486">
        <v>2.606011792926016</v>
      </c>
      <c r="N486">
        <v>0</v>
      </c>
    </row>
    <row r="487" spans="9:14" x14ac:dyDescent="0.3">
      <c r="I487">
        <v>484</v>
      </c>
      <c r="J487">
        <v>1.8705471623543539</v>
      </c>
      <c r="K487">
        <v>0</v>
      </c>
      <c r="L487">
        <v>0</v>
      </c>
      <c r="M487">
        <v>1.8705471623543539</v>
      </c>
      <c r="N487">
        <v>1</v>
      </c>
    </row>
    <row r="488" spans="9:14" x14ac:dyDescent="0.3">
      <c r="I488">
        <v>485</v>
      </c>
      <c r="J488">
        <v>2.542105708387977</v>
      </c>
      <c r="K488">
        <v>0</v>
      </c>
      <c r="L488">
        <v>0</v>
      </c>
      <c r="M488">
        <v>2.542105708387977</v>
      </c>
      <c r="N488">
        <v>0</v>
      </c>
    </row>
    <row r="489" spans="9:14" x14ac:dyDescent="0.3">
      <c r="I489">
        <v>486</v>
      </c>
      <c r="J489">
        <v>1.899897651706995</v>
      </c>
      <c r="K489">
        <v>0</v>
      </c>
      <c r="L489">
        <v>0</v>
      </c>
      <c r="M489">
        <v>1.899897651706995</v>
      </c>
      <c r="N489">
        <v>1</v>
      </c>
    </row>
    <row r="490" spans="9:14" x14ac:dyDescent="0.3">
      <c r="I490">
        <v>487</v>
      </c>
      <c r="J490">
        <v>2.1197348754286489</v>
      </c>
      <c r="K490">
        <v>1</v>
      </c>
      <c r="L490">
        <v>1.8638670088175271</v>
      </c>
      <c r="M490">
        <v>3.983601884246176</v>
      </c>
      <c r="N490">
        <v>0</v>
      </c>
    </row>
    <row r="491" spans="9:14" x14ac:dyDescent="0.3">
      <c r="I491">
        <v>488</v>
      </c>
      <c r="J491">
        <v>2.0530755193949819</v>
      </c>
      <c r="K491">
        <v>0</v>
      </c>
      <c r="L491">
        <v>0</v>
      </c>
      <c r="M491">
        <v>2.0530755193949819</v>
      </c>
      <c r="N491">
        <v>0</v>
      </c>
    </row>
    <row r="492" spans="9:14" x14ac:dyDescent="0.3">
      <c r="I492">
        <v>489</v>
      </c>
      <c r="J492">
        <v>2.758068228107561</v>
      </c>
      <c r="K492">
        <v>1</v>
      </c>
      <c r="L492">
        <v>1.0587177652526729</v>
      </c>
      <c r="M492">
        <v>3.8167859933602331</v>
      </c>
      <c r="N492">
        <v>0</v>
      </c>
    </row>
    <row r="493" spans="9:14" x14ac:dyDescent="0.3">
      <c r="I493">
        <v>490</v>
      </c>
      <c r="J493">
        <v>1.9945001383218861</v>
      </c>
      <c r="K493">
        <v>0</v>
      </c>
      <c r="L493">
        <v>0</v>
      </c>
      <c r="M493">
        <v>1.9945001383218861</v>
      </c>
      <c r="N493">
        <v>1</v>
      </c>
    </row>
    <row r="494" spans="9:14" x14ac:dyDescent="0.3">
      <c r="I494">
        <v>491</v>
      </c>
      <c r="J494">
        <v>1.8143960935241159</v>
      </c>
      <c r="K494">
        <v>0</v>
      </c>
      <c r="L494">
        <v>0</v>
      </c>
      <c r="M494">
        <v>1.8143960935241159</v>
      </c>
      <c r="N494">
        <v>1</v>
      </c>
    </row>
    <row r="495" spans="9:14" x14ac:dyDescent="0.3">
      <c r="I495">
        <v>492</v>
      </c>
      <c r="J495">
        <v>1.33465151962997</v>
      </c>
      <c r="K495">
        <v>0</v>
      </c>
      <c r="L495">
        <v>0</v>
      </c>
      <c r="M495">
        <v>1.33465151962997</v>
      </c>
      <c r="N495">
        <v>1</v>
      </c>
    </row>
    <row r="496" spans="9:14" x14ac:dyDescent="0.3">
      <c r="I496">
        <v>493</v>
      </c>
      <c r="J496">
        <v>2.6573291157715122</v>
      </c>
      <c r="K496">
        <v>1</v>
      </c>
      <c r="L496">
        <v>1.122075199939266</v>
      </c>
      <c r="M496">
        <v>3.779404315710778</v>
      </c>
      <c r="N496">
        <v>0</v>
      </c>
    </row>
    <row r="497" spans="9:14" x14ac:dyDescent="0.3">
      <c r="I497">
        <v>494</v>
      </c>
      <c r="J497">
        <v>1.770699568304416</v>
      </c>
      <c r="K497">
        <v>1</v>
      </c>
      <c r="L497">
        <v>1.9653782527615411</v>
      </c>
      <c r="M497">
        <v>3.7360778210659582</v>
      </c>
      <c r="N497">
        <v>0</v>
      </c>
    </row>
    <row r="498" spans="9:14" x14ac:dyDescent="0.3">
      <c r="I498">
        <v>495</v>
      </c>
      <c r="J498">
        <v>1.412034957790939</v>
      </c>
      <c r="K498">
        <v>0</v>
      </c>
      <c r="L498">
        <v>0</v>
      </c>
      <c r="M498">
        <v>1.412034957790939</v>
      </c>
      <c r="N498">
        <v>1</v>
      </c>
    </row>
    <row r="499" spans="9:14" x14ac:dyDescent="0.3">
      <c r="I499">
        <v>496</v>
      </c>
      <c r="J499">
        <v>1.955318397688538</v>
      </c>
      <c r="K499">
        <v>1</v>
      </c>
      <c r="L499">
        <v>1.461740291995514</v>
      </c>
      <c r="M499">
        <v>3.417058689684052</v>
      </c>
      <c r="N499">
        <v>0</v>
      </c>
    </row>
    <row r="500" spans="9:14" x14ac:dyDescent="0.3">
      <c r="I500">
        <v>497</v>
      </c>
      <c r="J500">
        <v>2.365527155915423</v>
      </c>
      <c r="K500">
        <v>0</v>
      </c>
      <c r="L500">
        <v>0</v>
      </c>
      <c r="M500">
        <v>2.365527155915423</v>
      </c>
      <c r="N500">
        <v>0</v>
      </c>
    </row>
    <row r="501" spans="9:14" x14ac:dyDescent="0.3">
      <c r="I501">
        <v>498</v>
      </c>
      <c r="J501">
        <v>1.7939189252987009</v>
      </c>
      <c r="K501">
        <v>0</v>
      </c>
      <c r="L501">
        <v>0</v>
      </c>
      <c r="M501">
        <v>1.7939189252987009</v>
      </c>
      <c r="N501">
        <v>1</v>
      </c>
    </row>
    <row r="502" spans="9:14" x14ac:dyDescent="0.3">
      <c r="I502">
        <v>499</v>
      </c>
      <c r="J502">
        <v>1.7086486167790771</v>
      </c>
      <c r="K502">
        <v>0</v>
      </c>
      <c r="L502">
        <v>0</v>
      </c>
      <c r="M502">
        <v>1.7086486167790771</v>
      </c>
      <c r="N502">
        <v>1</v>
      </c>
    </row>
    <row r="503" spans="9:14" x14ac:dyDescent="0.3">
      <c r="I503">
        <v>500</v>
      </c>
      <c r="J503">
        <v>1.917652320787117</v>
      </c>
      <c r="K503">
        <v>0</v>
      </c>
      <c r="L503">
        <v>0</v>
      </c>
      <c r="M503">
        <v>1.917652320787117</v>
      </c>
      <c r="N503">
        <v>1</v>
      </c>
    </row>
    <row r="504" spans="9:14" x14ac:dyDescent="0.3">
      <c r="I504">
        <v>501</v>
      </c>
      <c r="J504">
        <v>1.124266488752333</v>
      </c>
      <c r="K504">
        <v>0</v>
      </c>
      <c r="L504">
        <v>0</v>
      </c>
      <c r="M504">
        <v>1.124266488752333</v>
      </c>
      <c r="N504">
        <v>1</v>
      </c>
    </row>
    <row r="505" spans="9:14" x14ac:dyDescent="0.3">
      <c r="I505">
        <v>502</v>
      </c>
      <c r="J505">
        <v>1.643942423289138</v>
      </c>
      <c r="K505">
        <v>1</v>
      </c>
      <c r="L505">
        <v>1.1919479170853171</v>
      </c>
      <c r="M505">
        <v>2.835890340374454</v>
      </c>
      <c r="N505">
        <v>0</v>
      </c>
    </row>
    <row r="506" spans="9:14" x14ac:dyDescent="0.3">
      <c r="I506">
        <v>503</v>
      </c>
      <c r="J506">
        <v>2.3884026817208408</v>
      </c>
      <c r="K506">
        <v>0</v>
      </c>
      <c r="L506">
        <v>0</v>
      </c>
      <c r="M506">
        <v>2.3884026817208408</v>
      </c>
      <c r="N506">
        <v>0</v>
      </c>
    </row>
    <row r="507" spans="9:14" x14ac:dyDescent="0.3">
      <c r="I507">
        <v>504</v>
      </c>
      <c r="J507">
        <v>1.2176963465713031</v>
      </c>
      <c r="K507">
        <v>0</v>
      </c>
      <c r="L507">
        <v>0</v>
      </c>
      <c r="M507">
        <v>1.2176963465713031</v>
      </c>
      <c r="N507">
        <v>1</v>
      </c>
    </row>
    <row r="508" spans="9:14" x14ac:dyDescent="0.3">
      <c r="I508">
        <v>505</v>
      </c>
      <c r="J508">
        <v>2.4181906316526458</v>
      </c>
      <c r="K508">
        <v>0</v>
      </c>
      <c r="L508">
        <v>0</v>
      </c>
      <c r="M508">
        <v>2.4181906316526458</v>
      </c>
      <c r="N508">
        <v>0</v>
      </c>
    </row>
    <row r="509" spans="9:14" x14ac:dyDescent="0.3">
      <c r="I509">
        <v>506</v>
      </c>
      <c r="J509">
        <v>2.5843803276096309</v>
      </c>
      <c r="K509">
        <v>1</v>
      </c>
      <c r="L509">
        <v>1.0285273416372951</v>
      </c>
      <c r="M509">
        <v>3.6129076692469262</v>
      </c>
      <c r="N509">
        <v>0</v>
      </c>
    </row>
    <row r="510" spans="9:14" x14ac:dyDescent="0.3">
      <c r="I510">
        <v>507</v>
      </c>
      <c r="J510">
        <v>2.3718293096291241</v>
      </c>
      <c r="K510">
        <v>0</v>
      </c>
      <c r="L510">
        <v>0</v>
      </c>
      <c r="M510">
        <v>2.3718293096291241</v>
      </c>
      <c r="N510">
        <v>0</v>
      </c>
    </row>
    <row r="511" spans="9:14" x14ac:dyDescent="0.3">
      <c r="I511">
        <v>508</v>
      </c>
      <c r="J511">
        <v>1.766655752626622</v>
      </c>
      <c r="K511">
        <v>0</v>
      </c>
      <c r="L511">
        <v>0</v>
      </c>
      <c r="M511">
        <v>1.766655752626622</v>
      </c>
      <c r="N511">
        <v>1</v>
      </c>
    </row>
    <row r="512" spans="9:14" x14ac:dyDescent="0.3">
      <c r="I512">
        <v>509</v>
      </c>
      <c r="J512">
        <v>2.143598742556093</v>
      </c>
      <c r="K512">
        <v>0</v>
      </c>
      <c r="L512">
        <v>0</v>
      </c>
      <c r="M512">
        <v>2.143598742556093</v>
      </c>
      <c r="N512">
        <v>0</v>
      </c>
    </row>
    <row r="513" spans="9:14" x14ac:dyDescent="0.3">
      <c r="I513">
        <v>510</v>
      </c>
      <c r="J513">
        <v>2.0065606332059311</v>
      </c>
      <c r="K513">
        <v>1</v>
      </c>
      <c r="L513">
        <v>1.529159676561515</v>
      </c>
      <c r="M513">
        <v>3.535720309767445</v>
      </c>
      <c r="N513">
        <v>0</v>
      </c>
    </row>
    <row r="514" spans="9:14" x14ac:dyDescent="0.3">
      <c r="I514">
        <v>511</v>
      </c>
      <c r="J514">
        <v>1.9611172460744051</v>
      </c>
      <c r="K514">
        <v>0</v>
      </c>
      <c r="L514">
        <v>0</v>
      </c>
      <c r="M514">
        <v>1.9611172460744051</v>
      </c>
      <c r="N514">
        <v>1</v>
      </c>
    </row>
    <row r="515" spans="9:14" x14ac:dyDescent="0.3">
      <c r="I515">
        <v>512</v>
      </c>
      <c r="J515">
        <v>2.278363519798877</v>
      </c>
      <c r="K515">
        <v>1</v>
      </c>
      <c r="L515">
        <v>1.9116101020275511</v>
      </c>
      <c r="M515">
        <v>4.189973621826427</v>
      </c>
      <c r="N515">
        <v>0</v>
      </c>
    </row>
    <row r="516" spans="9:14" x14ac:dyDescent="0.3">
      <c r="I516">
        <v>513</v>
      </c>
      <c r="J516">
        <v>1.597432651877186</v>
      </c>
      <c r="K516">
        <v>0</v>
      </c>
      <c r="L516">
        <v>0</v>
      </c>
      <c r="M516">
        <v>1.597432651877186</v>
      </c>
      <c r="N516">
        <v>1</v>
      </c>
    </row>
    <row r="517" spans="9:14" x14ac:dyDescent="0.3">
      <c r="I517">
        <v>514</v>
      </c>
      <c r="J517">
        <v>2.176513753796955</v>
      </c>
      <c r="K517">
        <v>0</v>
      </c>
      <c r="L517">
        <v>0</v>
      </c>
      <c r="M517">
        <v>2.176513753796955</v>
      </c>
      <c r="N517">
        <v>0</v>
      </c>
    </row>
    <row r="518" spans="9:14" x14ac:dyDescent="0.3">
      <c r="I518">
        <v>515</v>
      </c>
      <c r="J518">
        <v>1.752055676373669</v>
      </c>
      <c r="K518">
        <v>0</v>
      </c>
      <c r="L518">
        <v>0</v>
      </c>
      <c r="M518">
        <v>1.752055676373669</v>
      </c>
      <c r="N518">
        <v>1</v>
      </c>
    </row>
    <row r="519" spans="9:14" x14ac:dyDescent="0.3">
      <c r="I519">
        <v>516</v>
      </c>
      <c r="J519">
        <v>1.9538945532019001</v>
      </c>
      <c r="K519">
        <v>0</v>
      </c>
      <c r="L519">
        <v>0</v>
      </c>
      <c r="M519">
        <v>1.9538945532019001</v>
      </c>
      <c r="N519">
        <v>1</v>
      </c>
    </row>
    <row r="520" spans="9:14" x14ac:dyDescent="0.3">
      <c r="I520">
        <v>517</v>
      </c>
      <c r="J520">
        <v>2.2783597166671701</v>
      </c>
      <c r="K520">
        <v>1</v>
      </c>
      <c r="L520">
        <v>1.823496477085796</v>
      </c>
      <c r="M520">
        <v>4.1018561937529654</v>
      </c>
      <c r="N520">
        <v>0</v>
      </c>
    </row>
    <row r="521" spans="9:14" x14ac:dyDescent="0.3">
      <c r="I521">
        <v>518</v>
      </c>
      <c r="J521">
        <v>1.401353922525145</v>
      </c>
      <c r="K521">
        <v>1</v>
      </c>
      <c r="L521">
        <v>1.555003644088601</v>
      </c>
      <c r="M521">
        <v>2.9563575666137449</v>
      </c>
      <c r="N521">
        <v>0</v>
      </c>
    </row>
    <row r="522" spans="9:14" x14ac:dyDescent="0.3">
      <c r="I522">
        <v>519</v>
      </c>
      <c r="J522">
        <v>2.394625934792797</v>
      </c>
      <c r="K522">
        <v>1</v>
      </c>
      <c r="L522">
        <v>1.719537831864854</v>
      </c>
      <c r="M522">
        <v>4.1141637666576507</v>
      </c>
      <c r="N522">
        <v>0</v>
      </c>
    </row>
    <row r="523" spans="9:14" x14ac:dyDescent="0.3">
      <c r="I523">
        <v>520</v>
      </c>
      <c r="J523">
        <v>1.8656009571480709</v>
      </c>
      <c r="K523">
        <v>0</v>
      </c>
      <c r="L523">
        <v>0</v>
      </c>
      <c r="M523">
        <v>1.8656009571480709</v>
      </c>
      <c r="N523">
        <v>1</v>
      </c>
    </row>
    <row r="524" spans="9:14" x14ac:dyDescent="0.3">
      <c r="I524">
        <v>521</v>
      </c>
      <c r="J524">
        <v>1.7863115454138001</v>
      </c>
      <c r="K524">
        <v>0</v>
      </c>
      <c r="L524">
        <v>0</v>
      </c>
      <c r="M524">
        <v>1.7863115454138001</v>
      </c>
      <c r="N524">
        <v>1</v>
      </c>
    </row>
    <row r="525" spans="9:14" x14ac:dyDescent="0.3">
      <c r="I525">
        <v>522</v>
      </c>
      <c r="J525">
        <v>2.594985798757679</v>
      </c>
      <c r="K525">
        <v>1</v>
      </c>
      <c r="L525">
        <v>1.6036599432493039</v>
      </c>
      <c r="M525">
        <v>4.1986457420069829</v>
      </c>
      <c r="N525">
        <v>0</v>
      </c>
    </row>
    <row r="526" spans="9:14" x14ac:dyDescent="0.3">
      <c r="I526">
        <v>523</v>
      </c>
      <c r="J526">
        <v>1.241252642385855</v>
      </c>
      <c r="K526">
        <v>1</v>
      </c>
      <c r="L526">
        <v>1.663006426711239</v>
      </c>
      <c r="M526">
        <v>2.904259069097094</v>
      </c>
      <c r="N526">
        <v>0</v>
      </c>
    </row>
    <row r="527" spans="9:14" x14ac:dyDescent="0.3">
      <c r="I527">
        <v>524</v>
      </c>
      <c r="J527">
        <v>2.1045628899165818</v>
      </c>
      <c r="K527">
        <v>0</v>
      </c>
      <c r="L527">
        <v>0</v>
      </c>
      <c r="M527">
        <v>2.1045628899165818</v>
      </c>
      <c r="N527">
        <v>0</v>
      </c>
    </row>
    <row r="528" spans="9:14" x14ac:dyDescent="0.3">
      <c r="I528">
        <v>525</v>
      </c>
      <c r="J528">
        <v>1.9569855674936381</v>
      </c>
      <c r="K528">
        <v>1</v>
      </c>
      <c r="L528">
        <v>1.692936614861402</v>
      </c>
      <c r="M528">
        <v>3.649922182355041</v>
      </c>
      <c r="N528">
        <v>0</v>
      </c>
    </row>
    <row r="529" spans="9:14" x14ac:dyDescent="0.3">
      <c r="I529">
        <v>526</v>
      </c>
      <c r="J529">
        <v>1.5096598720910159</v>
      </c>
      <c r="K529">
        <v>0</v>
      </c>
      <c r="L529">
        <v>0</v>
      </c>
      <c r="M529">
        <v>1.5096598720910159</v>
      </c>
      <c r="N529">
        <v>1</v>
      </c>
    </row>
    <row r="530" spans="9:14" x14ac:dyDescent="0.3">
      <c r="I530">
        <v>527</v>
      </c>
      <c r="J530">
        <v>2.440742151114411</v>
      </c>
      <c r="K530">
        <v>1</v>
      </c>
      <c r="L530">
        <v>1.5522231818462611</v>
      </c>
      <c r="M530">
        <v>3.9929653329606709</v>
      </c>
      <c r="N530">
        <v>0</v>
      </c>
    </row>
    <row r="531" spans="9:14" x14ac:dyDescent="0.3">
      <c r="I531">
        <v>528</v>
      </c>
      <c r="J531">
        <v>2.1289486883377502</v>
      </c>
      <c r="K531">
        <v>0</v>
      </c>
      <c r="L531">
        <v>0</v>
      </c>
      <c r="M531">
        <v>2.1289486883377502</v>
      </c>
      <c r="N531">
        <v>0</v>
      </c>
    </row>
    <row r="532" spans="9:14" x14ac:dyDescent="0.3">
      <c r="I532">
        <v>529</v>
      </c>
      <c r="J532">
        <v>1.801987763791161</v>
      </c>
      <c r="K532">
        <v>0</v>
      </c>
      <c r="L532">
        <v>0</v>
      </c>
      <c r="M532">
        <v>1.801987763791161</v>
      </c>
      <c r="N532">
        <v>1</v>
      </c>
    </row>
    <row r="533" spans="9:14" x14ac:dyDescent="0.3">
      <c r="I533">
        <v>530</v>
      </c>
      <c r="J533">
        <v>1.80443610202576</v>
      </c>
      <c r="K533">
        <v>1</v>
      </c>
      <c r="L533">
        <v>1.790581076362399</v>
      </c>
      <c r="M533">
        <v>3.5950171783881588</v>
      </c>
      <c r="N533">
        <v>0</v>
      </c>
    </row>
    <row r="534" spans="9:14" x14ac:dyDescent="0.3">
      <c r="I534">
        <v>531</v>
      </c>
      <c r="J534">
        <v>1.544192502510177</v>
      </c>
      <c r="K534">
        <v>1</v>
      </c>
      <c r="L534">
        <v>1.757558708231806</v>
      </c>
      <c r="M534">
        <v>3.3017512107419829</v>
      </c>
      <c r="N534">
        <v>0</v>
      </c>
    </row>
    <row r="535" spans="9:14" x14ac:dyDescent="0.3">
      <c r="I535">
        <v>532</v>
      </c>
      <c r="J535">
        <v>1.841767936647827</v>
      </c>
      <c r="K535">
        <v>1</v>
      </c>
      <c r="L535">
        <v>1.462756311533548</v>
      </c>
      <c r="M535">
        <v>3.3045242481813748</v>
      </c>
      <c r="N535">
        <v>0</v>
      </c>
    </row>
    <row r="536" spans="9:14" x14ac:dyDescent="0.3">
      <c r="I536">
        <v>533</v>
      </c>
      <c r="J536">
        <v>1.7681394484205439</v>
      </c>
      <c r="K536">
        <v>0</v>
      </c>
      <c r="L536">
        <v>0</v>
      </c>
      <c r="M536">
        <v>1.7681394484205439</v>
      </c>
      <c r="N536">
        <v>1</v>
      </c>
    </row>
    <row r="537" spans="9:14" x14ac:dyDescent="0.3">
      <c r="I537">
        <v>534</v>
      </c>
      <c r="J537">
        <v>2.6927048977070358</v>
      </c>
      <c r="K537">
        <v>0</v>
      </c>
      <c r="L537">
        <v>0</v>
      </c>
      <c r="M537">
        <v>2.6927048977070358</v>
      </c>
      <c r="N537">
        <v>0</v>
      </c>
    </row>
    <row r="538" spans="9:14" x14ac:dyDescent="0.3">
      <c r="I538">
        <v>535</v>
      </c>
      <c r="J538">
        <v>1.788318633638216</v>
      </c>
      <c r="K538">
        <v>1</v>
      </c>
      <c r="L538">
        <v>1.366279727285608</v>
      </c>
      <c r="M538">
        <v>3.1545983609238251</v>
      </c>
      <c r="N538">
        <v>0</v>
      </c>
    </row>
    <row r="539" spans="9:14" x14ac:dyDescent="0.3">
      <c r="I539">
        <v>536</v>
      </c>
      <c r="J539">
        <v>1.6485934997966061</v>
      </c>
      <c r="K539">
        <v>0</v>
      </c>
      <c r="L539">
        <v>0</v>
      </c>
      <c r="M539">
        <v>1.6485934997966061</v>
      </c>
      <c r="N539">
        <v>1</v>
      </c>
    </row>
    <row r="540" spans="9:14" x14ac:dyDescent="0.3">
      <c r="I540">
        <v>537</v>
      </c>
      <c r="J540">
        <v>1.984615645048877</v>
      </c>
      <c r="K540">
        <v>0</v>
      </c>
      <c r="L540">
        <v>0</v>
      </c>
      <c r="M540">
        <v>1.984615645048877</v>
      </c>
      <c r="N540">
        <v>1</v>
      </c>
    </row>
    <row r="541" spans="9:14" x14ac:dyDescent="0.3">
      <c r="I541">
        <v>538</v>
      </c>
      <c r="J541">
        <v>1.6842646832665551</v>
      </c>
      <c r="K541">
        <v>1</v>
      </c>
      <c r="L541">
        <v>1.614703057088581</v>
      </c>
      <c r="M541">
        <v>3.2989677403551361</v>
      </c>
      <c r="N541">
        <v>0</v>
      </c>
    </row>
    <row r="542" spans="9:14" x14ac:dyDescent="0.3">
      <c r="I542">
        <v>539</v>
      </c>
      <c r="J542">
        <v>1.801057373504896</v>
      </c>
      <c r="K542">
        <v>0</v>
      </c>
      <c r="L542">
        <v>0</v>
      </c>
      <c r="M542">
        <v>1.801057373504896</v>
      </c>
      <c r="N542">
        <v>1</v>
      </c>
    </row>
    <row r="543" spans="9:14" x14ac:dyDescent="0.3">
      <c r="I543">
        <v>540</v>
      </c>
      <c r="J543">
        <v>2.5155062580343279</v>
      </c>
      <c r="K543">
        <v>1</v>
      </c>
      <c r="L543">
        <v>1.450325427118037</v>
      </c>
      <c r="M543">
        <v>3.9658316851523652</v>
      </c>
      <c r="N543">
        <v>0</v>
      </c>
    </row>
    <row r="544" spans="9:14" x14ac:dyDescent="0.3">
      <c r="I544">
        <v>541</v>
      </c>
      <c r="J544">
        <v>1.624473372590175</v>
      </c>
      <c r="K544">
        <v>1</v>
      </c>
      <c r="L544">
        <v>1.232267950007415</v>
      </c>
      <c r="M544">
        <v>2.8567413225975899</v>
      </c>
      <c r="N544">
        <v>0</v>
      </c>
    </row>
    <row r="545" spans="9:14" x14ac:dyDescent="0.3">
      <c r="I545">
        <v>542</v>
      </c>
      <c r="J545">
        <v>2.2326826168246172</v>
      </c>
      <c r="K545">
        <v>0</v>
      </c>
      <c r="L545">
        <v>0</v>
      </c>
      <c r="M545">
        <v>2.2326826168246172</v>
      </c>
      <c r="N545">
        <v>0</v>
      </c>
    </row>
    <row r="546" spans="9:14" x14ac:dyDescent="0.3">
      <c r="I546">
        <v>543</v>
      </c>
      <c r="J546">
        <v>1.958323943849607</v>
      </c>
      <c r="K546">
        <v>1</v>
      </c>
      <c r="L546">
        <v>1.289925698387594</v>
      </c>
      <c r="M546">
        <v>3.2482496422372011</v>
      </c>
      <c r="N546">
        <v>0</v>
      </c>
    </row>
    <row r="547" spans="9:14" x14ac:dyDescent="0.3">
      <c r="I547">
        <v>544</v>
      </c>
      <c r="J547">
        <v>1.712120584360608</v>
      </c>
      <c r="K547">
        <v>0</v>
      </c>
      <c r="L547">
        <v>0</v>
      </c>
      <c r="M547">
        <v>1.712120584360608</v>
      </c>
      <c r="N547">
        <v>1</v>
      </c>
    </row>
    <row r="548" spans="9:14" x14ac:dyDescent="0.3">
      <c r="I548">
        <v>545</v>
      </c>
      <c r="J548">
        <v>1.552766727252221</v>
      </c>
      <c r="K548">
        <v>1</v>
      </c>
      <c r="L548">
        <v>1.878725474044739</v>
      </c>
      <c r="M548">
        <v>3.43149220129696</v>
      </c>
      <c r="N548">
        <v>0</v>
      </c>
    </row>
    <row r="549" spans="9:14" x14ac:dyDescent="0.3">
      <c r="I549">
        <v>546</v>
      </c>
      <c r="J549">
        <v>1.677603482152485</v>
      </c>
      <c r="K549">
        <v>1</v>
      </c>
      <c r="L549">
        <v>1.3846362807684911</v>
      </c>
      <c r="M549">
        <v>3.0622397629209761</v>
      </c>
      <c r="N549">
        <v>0</v>
      </c>
    </row>
    <row r="550" spans="9:14" x14ac:dyDescent="0.3">
      <c r="I550">
        <v>547</v>
      </c>
      <c r="J550">
        <v>1.4776906286902729</v>
      </c>
      <c r="K550">
        <v>0</v>
      </c>
      <c r="L550">
        <v>0</v>
      </c>
      <c r="M550">
        <v>1.4776906286902729</v>
      </c>
      <c r="N550">
        <v>1</v>
      </c>
    </row>
    <row r="551" spans="9:14" x14ac:dyDescent="0.3">
      <c r="I551">
        <v>548</v>
      </c>
      <c r="J551">
        <v>2.2254921776555849</v>
      </c>
      <c r="K551">
        <v>0</v>
      </c>
      <c r="L551">
        <v>0</v>
      </c>
      <c r="M551">
        <v>2.2254921776555849</v>
      </c>
      <c r="N551">
        <v>0</v>
      </c>
    </row>
    <row r="552" spans="9:14" x14ac:dyDescent="0.3">
      <c r="I552">
        <v>549</v>
      </c>
      <c r="J552">
        <v>1.2566649647310719</v>
      </c>
      <c r="K552">
        <v>0</v>
      </c>
      <c r="L552">
        <v>0</v>
      </c>
      <c r="M552">
        <v>1.2566649647310719</v>
      </c>
      <c r="N552">
        <v>1</v>
      </c>
    </row>
    <row r="553" spans="9:14" x14ac:dyDescent="0.3">
      <c r="I553">
        <v>550</v>
      </c>
      <c r="J553">
        <v>2.116714479845907</v>
      </c>
      <c r="K553">
        <v>0</v>
      </c>
      <c r="L553">
        <v>0</v>
      </c>
      <c r="M553">
        <v>2.116714479845907</v>
      </c>
      <c r="N553">
        <v>0</v>
      </c>
    </row>
    <row r="554" spans="9:14" x14ac:dyDescent="0.3">
      <c r="I554">
        <v>551</v>
      </c>
      <c r="J554">
        <v>2.3030752157682022</v>
      </c>
      <c r="K554">
        <v>0</v>
      </c>
      <c r="L554">
        <v>0</v>
      </c>
      <c r="M554">
        <v>2.3030752157682022</v>
      </c>
      <c r="N554">
        <v>0</v>
      </c>
    </row>
    <row r="555" spans="9:14" x14ac:dyDescent="0.3">
      <c r="I555">
        <v>552</v>
      </c>
      <c r="J555">
        <v>1.90377069716521</v>
      </c>
      <c r="K555">
        <v>1</v>
      </c>
      <c r="L555">
        <v>1.328081729398596</v>
      </c>
      <c r="M555">
        <v>3.231852426563806</v>
      </c>
      <c r="N555">
        <v>0</v>
      </c>
    </row>
    <row r="556" spans="9:14" x14ac:dyDescent="0.3">
      <c r="I556">
        <v>553</v>
      </c>
      <c r="J556">
        <v>2.2361257778295349</v>
      </c>
      <c r="K556">
        <v>1</v>
      </c>
      <c r="L556">
        <v>1.9438236526927191</v>
      </c>
      <c r="M556">
        <v>4.1799494305222549</v>
      </c>
      <c r="N556">
        <v>0</v>
      </c>
    </row>
    <row r="557" spans="9:14" x14ac:dyDescent="0.3">
      <c r="I557">
        <v>554</v>
      </c>
      <c r="J557">
        <v>1.7757830540063191</v>
      </c>
      <c r="K557">
        <v>1</v>
      </c>
      <c r="L557">
        <v>1.8873677945962659</v>
      </c>
      <c r="M557">
        <v>3.663150848602585</v>
      </c>
      <c r="N557">
        <v>0</v>
      </c>
    </row>
    <row r="558" spans="9:14" x14ac:dyDescent="0.3">
      <c r="I558">
        <v>555</v>
      </c>
      <c r="J558">
        <v>1.8756571707699341</v>
      </c>
      <c r="K558">
        <v>0</v>
      </c>
      <c r="L558">
        <v>0</v>
      </c>
      <c r="M558">
        <v>1.8756571707699341</v>
      </c>
      <c r="N558">
        <v>1</v>
      </c>
    </row>
    <row r="559" spans="9:14" x14ac:dyDescent="0.3">
      <c r="I559">
        <v>556</v>
      </c>
      <c r="J559">
        <v>2.3369947841036618</v>
      </c>
      <c r="K559">
        <v>1</v>
      </c>
      <c r="L559">
        <v>1.7244573819379709</v>
      </c>
      <c r="M559">
        <v>4.0614521660416329</v>
      </c>
      <c r="N559">
        <v>0</v>
      </c>
    </row>
    <row r="560" spans="9:14" x14ac:dyDescent="0.3">
      <c r="I560">
        <v>557</v>
      </c>
      <c r="J560">
        <v>2.160342517843922</v>
      </c>
      <c r="K560">
        <v>1</v>
      </c>
      <c r="L560">
        <v>1.046277908572304</v>
      </c>
      <c r="M560">
        <v>3.2066204264162259</v>
      </c>
      <c r="N560">
        <v>0</v>
      </c>
    </row>
    <row r="561" spans="9:14" x14ac:dyDescent="0.3">
      <c r="I561">
        <v>558</v>
      </c>
      <c r="J561">
        <v>2.0047893956717071</v>
      </c>
      <c r="K561">
        <v>0</v>
      </c>
      <c r="L561">
        <v>0</v>
      </c>
      <c r="M561">
        <v>2.0047893956717071</v>
      </c>
      <c r="N561">
        <v>0</v>
      </c>
    </row>
    <row r="562" spans="9:14" x14ac:dyDescent="0.3">
      <c r="I562">
        <v>559</v>
      </c>
      <c r="J562">
        <v>2.4739118215948461</v>
      </c>
      <c r="K562">
        <v>1</v>
      </c>
      <c r="L562">
        <v>1.308210301044245</v>
      </c>
      <c r="M562">
        <v>3.7821221226390911</v>
      </c>
      <c r="N562">
        <v>0</v>
      </c>
    </row>
    <row r="563" spans="9:14" x14ac:dyDescent="0.3">
      <c r="I563">
        <v>560</v>
      </c>
      <c r="J563">
        <v>2.0157366524533429</v>
      </c>
      <c r="K563">
        <v>0</v>
      </c>
      <c r="L563">
        <v>0</v>
      </c>
      <c r="M563">
        <v>2.0157366524533429</v>
      </c>
      <c r="N563">
        <v>0</v>
      </c>
    </row>
    <row r="564" spans="9:14" x14ac:dyDescent="0.3">
      <c r="I564">
        <v>561</v>
      </c>
      <c r="J564">
        <v>1.927915107753962</v>
      </c>
      <c r="K564">
        <v>1</v>
      </c>
      <c r="L564">
        <v>1.6794368064708169</v>
      </c>
      <c r="M564">
        <v>3.607351914224779</v>
      </c>
      <c r="N564">
        <v>0</v>
      </c>
    </row>
    <row r="565" spans="9:14" x14ac:dyDescent="0.3">
      <c r="I565">
        <v>562</v>
      </c>
      <c r="J565">
        <v>1.8947885645498961</v>
      </c>
      <c r="K565">
        <v>0</v>
      </c>
      <c r="L565">
        <v>0</v>
      </c>
      <c r="M565">
        <v>1.8947885645498961</v>
      </c>
      <c r="N565">
        <v>1</v>
      </c>
    </row>
    <row r="566" spans="9:14" x14ac:dyDescent="0.3">
      <c r="I566">
        <v>563</v>
      </c>
      <c r="J566">
        <v>1.5182403054982421</v>
      </c>
      <c r="K566">
        <v>1</v>
      </c>
      <c r="L566">
        <v>1.940747706426911</v>
      </c>
      <c r="M566">
        <v>3.458988011925153</v>
      </c>
      <c r="N566">
        <v>0</v>
      </c>
    </row>
    <row r="567" spans="9:14" x14ac:dyDescent="0.3">
      <c r="I567">
        <v>564</v>
      </c>
      <c r="J567">
        <v>2.0286838295506189</v>
      </c>
      <c r="K567">
        <v>0</v>
      </c>
      <c r="L567">
        <v>0</v>
      </c>
      <c r="M567">
        <v>2.0286838295506189</v>
      </c>
      <c r="N567">
        <v>0</v>
      </c>
    </row>
    <row r="568" spans="9:14" x14ac:dyDescent="0.3">
      <c r="I568">
        <v>565</v>
      </c>
      <c r="J568">
        <v>2.422566354567822</v>
      </c>
      <c r="K568">
        <v>0</v>
      </c>
      <c r="L568">
        <v>0</v>
      </c>
      <c r="M568">
        <v>2.422566354567822</v>
      </c>
      <c r="N568">
        <v>0</v>
      </c>
    </row>
    <row r="569" spans="9:14" x14ac:dyDescent="0.3">
      <c r="I569">
        <v>566</v>
      </c>
      <c r="J569">
        <v>2.2186683621489758</v>
      </c>
      <c r="K569">
        <v>1</v>
      </c>
      <c r="L569">
        <v>1.8286116101614811</v>
      </c>
      <c r="M569">
        <v>4.0472799723104567</v>
      </c>
      <c r="N569">
        <v>0</v>
      </c>
    </row>
    <row r="570" spans="9:14" x14ac:dyDescent="0.3">
      <c r="I570">
        <v>567</v>
      </c>
      <c r="J570">
        <v>1.5969200592523229</v>
      </c>
      <c r="K570">
        <v>1</v>
      </c>
      <c r="L570">
        <v>1.806721257100836</v>
      </c>
      <c r="M570">
        <v>3.4036413163531578</v>
      </c>
      <c r="N570">
        <v>0</v>
      </c>
    </row>
    <row r="571" spans="9:14" x14ac:dyDescent="0.3">
      <c r="I571">
        <v>568</v>
      </c>
      <c r="J571">
        <v>1.9663013354714649</v>
      </c>
      <c r="K571">
        <v>1</v>
      </c>
      <c r="L571">
        <v>1.3859314184178939</v>
      </c>
      <c r="M571">
        <v>3.3522327538893588</v>
      </c>
      <c r="N571">
        <v>0</v>
      </c>
    </row>
    <row r="572" spans="9:14" x14ac:dyDescent="0.3">
      <c r="I572">
        <v>569</v>
      </c>
      <c r="J572">
        <v>1.4616636886753009</v>
      </c>
      <c r="K572">
        <v>1</v>
      </c>
      <c r="L572">
        <v>1.1691010733865479</v>
      </c>
      <c r="M572">
        <v>2.6307647620618488</v>
      </c>
      <c r="N572">
        <v>0</v>
      </c>
    </row>
    <row r="573" spans="9:14" x14ac:dyDescent="0.3">
      <c r="I573">
        <v>570</v>
      </c>
      <c r="J573">
        <v>2.2300272089677819</v>
      </c>
      <c r="K573">
        <v>0</v>
      </c>
      <c r="L573">
        <v>0</v>
      </c>
      <c r="M573">
        <v>2.2300272089677819</v>
      </c>
      <c r="N573">
        <v>0</v>
      </c>
    </row>
    <row r="574" spans="9:14" x14ac:dyDescent="0.3">
      <c r="I574">
        <v>571</v>
      </c>
      <c r="J574">
        <v>1.6867785630861161</v>
      </c>
      <c r="K574">
        <v>1</v>
      </c>
      <c r="L574">
        <v>1.3840045109661681</v>
      </c>
      <c r="M574">
        <v>3.0707830740522848</v>
      </c>
      <c r="N574">
        <v>0</v>
      </c>
    </row>
    <row r="575" spans="9:14" x14ac:dyDescent="0.3">
      <c r="I575">
        <v>572</v>
      </c>
      <c r="J575">
        <v>2.4562798220863171</v>
      </c>
      <c r="K575">
        <v>1</v>
      </c>
      <c r="L575">
        <v>1.197067543896849</v>
      </c>
      <c r="M575">
        <v>3.6533473659831661</v>
      </c>
      <c r="N575">
        <v>0</v>
      </c>
    </row>
    <row r="576" spans="9:14" x14ac:dyDescent="0.3">
      <c r="I576">
        <v>573</v>
      </c>
      <c r="J576">
        <v>2.2488820816103892</v>
      </c>
      <c r="K576">
        <v>0</v>
      </c>
      <c r="L576">
        <v>0</v>
      </c>
      <c r="M576">
        <v>2.2488820816103892</v>
      </c>
      <c r="N576">
        <v>0</v>
      </c>
    </row>
    <row r="577" spans="9:14" x14ac:dyDescent="0.3">
      <c r="I577">
        <v>574</v>
      </c>
      <c r="J577">
        <v>1.396724645876422</v>
      </c>
      <c r="K577">
        <v>1</v>
      </c>
      <c r="L577">
        <v>1.5584230101367631</v>
      </c>
      <c r="M577">
        <v>2.9551476560131862</v>
      </c>
      <c r="N577">
        <v>0</v>
      </c>
    </row>
    <row r="578" spans="9:14" x14ac:dyDescent="0.3">
      <c r="I578">
        <v>575</v>
      </c>
      <c r="J578">
        <v>1.9879011409184979</v>
      </c>
      <c r="K578">
        <v>0</v>
      </c>
      <c r="L578">
        <v>0</v>
      </c>
      <c r="M578">
        <v>1.9879011409184979</v>
      </c>
      <c r="N578">
        <v>1</v>
      </c>
    </row>
    <row r="579" spans="9:14" x14ac:dyDescent="0.3">
      <c r="I579">
        <v>576</v>
      </c>
      <c r="J579">
        <v>2.6287395205474828</v>
      </c>
      <c r="K579">
        <v>0</v>
      </c>
      <c r="L579">
        <v>0</v>
      </c>
      <c r="M579">
        <v>2.6287395205474828</v>
      </c>
      <c r="N579">
        <v>0</v>
      </c>
    </row>
    <row r="580" spans="9:14" x14ac:dyDescent="0.3">
      <c r="I580">
        <v>577</v>
      </c>
      <c r="J580">
        <v>2.1353214800476459</v>
      </c>
      <c r="K580">
        <v>0</v>
      </c>
      <c r="L580">
        <v>0</v>
      </c>
      <c r="M580">
        <v>2.1353214800476459</v>
      </c>
      <c r="N580">
        <v>0</v>
      </c>
    </row>
    <row r="581" spans="9:14" x14ac:dyDescent="0.3">
      <c r="I581">
        <v>578</v>
      </c>
      <c r="J581">
        <v>1.552345005951163</v>
      </c>
      <c r="K581">
        <v>1</v>
      </c>
      <c r="L581">
        <v>1.746634973404815</v>
      </c>
      <c r="M581">
        <v>3.2989799793559782</v>
      </c>
      <c r="N581">
        <v>0</v>
      </c>
    </row>
    <row r="582" spans="9:14" x14ac:dyDescent="0.3">
      <c r="I582">
        <v>579</v>
      </c>
      <c r="J582">
        <v>1.914773946697139</v>
      </c>
      <c r="K582">
        <v>0</v>
      </c>
      <c r="L582">
        <v>0</v>
      </c>
      <c r="M582">
        <v>1.914773946697139</v>
      </c>
      <c r="N582">
        <v>1</v>
      </c>
    </row>
    <row r="583" spans="9:14" x14ac:dyDescent="0.3">
      <c r="I583">
        <v>580</v>
      </c>
      <c r="J583">
        <v>2.3786096489385771</v>
      </c>
      <c r="K583">
        <v>0</v>
      </c>
      <c r="L583">
        <v>0</v>
      </c>
      <c r="M583">
        <v>2.3786096489385771</v>
      </c>
      <c r="N583">
        <v>0</v>
      </c>
    </row>
    <row r="584" spans="9:14" x14ac:dyDescent="0.3">
      <c r="I584">
        <v>581</v>
      </c>
      <c r="J584">
        <v>2.4549535438417398</v>
      </c>
      <c r="K584">
        <v>1</v>
      </c>
      <c r="L584">
        <v>1.6373074566494099</v>
      </c>
      <c r="M584">
        <v>4.0922610004911499</v>
      </c>
      <c r="N584">
        <v>0</v>
      </c>
    </row>
    <row r="585" spans="9:14" x14ac:dyDescent="0.3">
      <c r="I585">
        <v>582</v>
      </c>
      <c r="J585">
        <v>1.811327246637993</v>
      </c>
      <c r="K585">
        <v>1</v>
      </c>
      <c r="L585">
        <v>1.1150541108586789</v>
      </c>
      <c r="M585">
        <v>2.9263813574966728</v>
      </c>
      <c r="N585">
        <v>0</v>
      </c>
    </row>
    <row r="586" spans="9:14" x14ac:dyDescent="0.3">
      <c r="I586">
        <v>583</v>
      </c>
      <c r="J586">
        <v>2.0592536376776058</v>
      </c>
      <c r="K586">
        <v>1</v>
      </c>
      <c r="L586">
        <v>1.0688013320942209</v>
      </c>
      <c r="M586">
        <v>3.128054969771827</v>
      </c>
      <c r="N586">
        <v>0</v>
      </c>
    </row>
    <row r="587" spans="9:14" x14ac:dyDescent="0.3">
      <c r="I587">
        <v>584</v>
      </c>
      <c r="J587">
        <v>1.8941607798214359</v>
      </c>
      <c r="K587">
        <v>0</v>
      </c>
      <c r="L587">
        <v>0</v>
      </c>
      <c r="M587">
        <v>1.8941607798214359</v>
      </c>
      <c r="N587">
        <v>1</v>
      </c>
    </row>
    <row r="588" spans="9:14" x14ac:dyDescent="0.3">
      <c r="I588">
        <v>585</v>
      </c>
      <c r="J588">
        <v>1.9406401948192069</v>
      </c>
      <c r="K588">
        <v>0</v>
      </c>
      <c r="L588">
        <v>0</v>
      </c>
      <c r="M588">
        <v>1.9406401948192069</v>
      </c>
      <c r="N588">
        <v>1</v>
      </c>
    </row>
    <row r="589" spans="9:14" x14ac:dyDescent="0.3">
      <c r="I589">
        <v>586</v>
      </c>
      <c r="J589">
        <v>2.2416503683624929</v>
      </c>
      <c r="K589">
        <v>0</v>
      </c>
      <c r="L589">
        <v>0</v>
      </c>
      <c r="M589">
        <v>2.2416503683624929</v>
      </c>
      <c r="N589">
        <v>0</v>
      </c>
    </row>
    <row r="590" spans="9:14" x14ac:dyDescent="0.3">
      <c r="I590">
        <v>587</v>
      </c>
      <c r="J590">
        <v>2.05743014555184</v>
      </c>
      <c r="K590">
        <v>1</v>
      </c>
      <c r="L590">
        <v>1.4444673916568871</v>
      </c>
      <c r="M590">
        <v>3.501897537208726</v>
      </c>
      <c r="N590">
        <v>0</v>
      </c>
    </row>
    <row r="591" spans="9:14" x14ac:dyDescent="0.3">
      <c r="I591">
        <v>588</v>
      </c>
      <c r="J591">
        <v>2.5419039861102539</v>
      </c>
      <c r="K591">
        <v>0</v>
      </c>
      <c r="L591">
        <v>0</v>
      </c>
      <c r="M591">
        <v>2.5419039861102539</v>
      </c>
      <c r="N591">
        <v>0</v>
      </c>
    </row>
    <row r="592" spans="9:14" x14ac:dyDescent="0.3">
      <c r="I592">
        <v>589</v>
      </c>
      <c r="J592">
        <v>1.936360515906085</v>
      </c>
      <c r="K592">
        <v>1</v>
      </c>
      <c r="L592">
        <v>1.2604169723158209</v>
      </c>
      <c r="M592">
        <v>3.1967774882219069</v>
      </c>
      <c r="N592">
        <v>0</v>
      </c>
    </row>
    <row r="593" spans="9:14" x14ac:dyDescent="0.3">
      <c r="I593">
        <v>590</v>
      </c>
      <c r="J593">
        <v>1.8973407074197159</v>
      </c>
      <c r="K593">
        <v>1</v>
      </c>
      <c r="L593">
        <v>1.1236167037313061</v>
      </c>
      <c r="M593">
        <v>3.0209574111510218</v>
      </c>
      <c r="N593">
        <v>0</v>
      </c>
    </row>
    <row r="594" spans="9:14" x14ac:dyDescent="0.3">
      <c r="I594">
        <v>591</v>
      </c>
      <c r="J594">
        <v>2.0436465784956579</v>
      </c>
      <c r="K594">
        <v>1</v>
      </c>
      <c r="L594">
        <v>1.5636576667674169</v>
      </c>
      <c r="M594">
        <v>3.6073042452630748</v>
      </c>
      <c r="N594">
        <v>0</v>
      </c>
    </row>
    <row r="595" spans="9:14" x14ac:dyDescent="0.3">
      <c r="I595">
        <v>592</v>
      </c>
      <c r="J595">
        <v>2.4169541585166212</v>
      </c>
      <c r="K595">
        <v>0</v>
      </c>
      <c r="L595">
        <v>0</v>
      </c>
      <c r="M595">
        <v>2.4169541585166212</v>
      </c>
      <c r="N595">
        <v>0</v>
      </c>
    </row>
    <row r="596" spans="9:14" x14ac:dyDescent="0.3">
      <c r="I596">
        <v>593</v>
      </c>
      <c r="J596">
        <v>1.7982741689093329</v>
      </c>
      <c r="K596">
        <v>0</v>
      </c>
      <c r="L596">
        <v>0</v>
      </c>
      <c r="M596">
        <v>1.7982741689093329</v>
      </c>
      <c r="N596">
        <v>1</v>
      </c>
    </row>
    <row r="597" spans="9:14" x14ac:dyDescent="0.3">
      <c r="I597">
        <v>594</v>
      </c>
      <c r="J597">
        <v>1.98509889987678</v>
      </c>
      <c r="K597">
        <v>1</v>
      </c>
      <c r="L597">
        <v>1.8348998470088791</v>
      </c>
      <c r="M597">
        <v>3.8199987468856591</v>
      </c>
      <c r="N597">
        <v>0</v>
      </c>
    </row>
    <row r="598" spans="9:14" x14ac:dyDescent="0.3">
      <c r="I598">
        <v>595</v>
      </c>
      <c r="J598">
        <v>1.871740159712548</v>
      </c>
      <c r="K598">
        <v>0</v>
      </c>
      <c r="L598">
        <v>0</v>
      </c>
      <c r="M598">
        <v>1.871740159712548</v>
      </c>
      <c r="N598">
        <v>1</v>
      </c>
    </row>
    <row r="599" spans="9:14" x14ac:dyDescent="0.3">
      <c r="I599">
        <v>596</v>
      </c>
      <c r="J599">
        <v>2.492065681327674</v>
      </c>
      <c r="K599">
        <v>0</v>
      </c>
      <c r="L599">
        <v>0</v>
      </c>
      <c r="M599">
        <v>2.492065681327674</v>
      </c>
      <c r="N599">
        <v>0</v>
      </c>
    </row>
    <row r="600" spans="9:14" x14ac:dyDescent="0.3">
      <c r="I600">
        <v>597</v>
      </c>
      <c r="J600">
        <v>2.2478303945947871</v>
      </c>
      <c r="K600">
        <v>0</v>
      </c>
      <c r="L600">
        <v>0</v>
      </c>
      <c r="M600">
        <v>2.2478303945947871</v>
      </c>
      <c r="N600">
        <v>0</v>
      </c>
    </row>
    <row r="601" spans="9:14" x14ac:dyDescent="0.3">
      <c r="I601">
        <v>598</v>
      </c>
      <c r="J601">
        <v>1.5414545153085979</v>
      </c>
      <c r="K601">
        <v>0</v>
      </c>
      <c r="L601">
        <v>0</v>
      </c>
      <c r="M601">
        <v>1.5414545153085979</v>
      </c>
      <c r="N601">
        <v>1</v>
      </c>
    </row>
    <row r="602" spans="9:14" x14ac:dyDescent="0.3">
      <c r="I602">
        <v>599</v>
      </c>
      <c r="J602">
        <v>1.984584549299873</v>
      </c>
      <c r="K602">
        <v>1</v>
      </c>
      <c r="L602">
        <v>1.3387521897009189</v>
      </c>
      <c r="M602">
        <v>3.323336739000792</v>
      </c>
      <c r="N602">
        <v>0</v>
      </c>
    </row>
    <row r="603" spans="9:14" x14ac:dyDescent="0.3">
      <c r="I603">
        <v>600</v>
      </c>
      <c r="J603">
        <v>1.9902930758510751</v>
      </c>
      <c r="K603">
        <v>0</v>
      </c>
      <c r="L603">
        <v>0</v>
      </c>
      <c r="M603">
        <v>1.9902930758510751</v>
      </c>
      <c r="N603">
        <v>1</v>
      </c>
    </row>
    <row r="604" spans="9:14" x14ac:dyDescent="0.3">
      <c r="I604">
        <v>601</v>
      </c>
      <c r="J604">
        <v>2.2774027051256378</v>
      </c>
      <c r="K604">
        <v>1</v>
      </c>
      <c r="L604">
        <v>1.7058230257975591</v>
      </c>
      <c r="M604">
        <v>3.9832257309231971</v>
      </c>
      <c r="N604">
        <v>0</v>
      </c>
    </row>
    <row r="605" spans="9:14" x14ac:dyDescent="0.3">
      <c r="I605">
        <v>602</v>
      </c>
      <c r="J605">
        <v>1.7604801073882941</v>
      </c>
      <c r="K605">
        <v>0</v>
      </c>
      <c r="L605">
        <v>0</v>
      </c>
      <c r="M605">
        <v>1.7604801073882941</v>
      </c>
      <c r="N605">
        <v>1</v>
      </c>
    </row>
    <row r="606" spans="9:14" x14ac:dyDescent="0.3">
      <c r="I606">
        <v>603</v>
      </c>
      <c r="J606">
        <v>2.2273292899669421</v>
      </c>
      <c r="K606">
        <v>0</v>
      </c>
      <c r="L606">
        <v>0</v>
      </c>
      <c r="M606">
        <v>2.2273292899669421</v>
      </c>
      <c r="N606">
        <v>0</v>
      </c>
    </row>
    <row r="607" spans="9:14" x14ac:dyDescent="0.3">
      <c r="I607">
        <v>604</v>
      </c>
      <c r="J607">
        <v>1.9716830642994401</v>
      </c>
      <c r="K607">
        <v>1</v>
      </c>
      <c r="L607">
        <v>1.348312061135212</v>
      </c>
      <c r="M607">
        <v>3.319995125434652</v>
      </c>
      <c r="N607">
        <v>0</v>
      </c>
    </row>
    <row r="608" spans="9:14" x14ac:dyDescent="0.3">
      <c r="I608">
        <v>605</v>
      </c>
      <c r="J608">
        <v>2.614437883900536</v>
      </c>
      <c r="K608">
        <v>0</v>
      </c>
      <c r="L608">
        <v>0</v>
      </c>
      <c r="M608">
        <v>2.614437883900536</v>
      </c>
      <c r="N608">
        <v>0</v>
      </c>
    </row>
    <row r="609" spans="9:14" x14ac:dyDescent="0.3">
      <c r="I609">
        <v>606</v>
      </c>
      <c r="J609">
        <v>2.101170673959011</v>
      </c>
      <c r="K609">
        <v>0</v>
      </c>
      <c r="L609">
        <v>0</v>
      </c>
      <c r="M609">
        <v>2.101170673959011</v>
      </c>
      <c r="N609">
        <v>0</v>
      </c>
    </row>
    <row r="610" spans="9:14" x14ac:dyDescent="0.3">
      <c r="I610">
        <v>607</v>
      </c>
      <c r="J610">
        <v>2.2553289592611909</v>
      </c>
      <c r="K610">
        <v>0</v>
      </c>
      <c r="L610">
        <v>0</v>
      </c>
      <c r="M610">
        <v>2.2553289592611909</v>
      </c>
      <c r="N610">
        <v>0</v>
      </c>
    </row>
    <row r="611" spans="9:14" x14ac:dyDescent="0.3">
      <c r="I611">
        <v>608</v>
      </c>
      <c r="J611">
        <v>2.1136795142689331</v>
      </c>
      <c r="K611">
        <v>1</v>
      </c>
      <c r="L611">
        <v>1.306494287089158</v>
      </c>
      <c r="M611">
        <v>3.4201738013580898</v>
      </c>
      <c r="N611">
        <v>0</v>
      </c>
    </row>
    <row r="612" spans="9:14" x14ac:dyDescent="0.3">
      <c r="I612">
        <v>609</v>
      </c>
      <c r="J612">
        <v>2.1578218500180921</v>
      </c>
      <c r="K612">
        <v>0</v>
      </c>
      <c r="L612">
        <v>0</v>
      </c>
      <c r="M612">
        <v>2.1578218500180921</v>
      </c>
      <c r="N612">
        <v>0</v>
      </c>
    </row>
    <row r="613" spans="9:14" x14ac:dyDescent="0.3">
      <c r="I613">
        <v>610</v>
      </c>
      <c r="J613">
        <v>2.5728758399138099</v>
      </c>
      <c r="K613">
        <v>0</v>
      </c>
      <c r="L613">
        <v>0</v>
      </c>
      <c r="M613">
        <v>2.5728758399138099</v>
      </c>
      <c r="N613">
        <v>0</v>
      </c>
    </row>
    <row r="614" spans="9:14" x14ac:dyDescent="0.3">
      <c r="I614">
        <v>611</v>
      </c>
      <c r="J614">
        <v>2.0560819722171502</v>
      </c>
      <c r="K614">
        <v>0</v>
      </c>
      <c r="L614">
        <v>0</v>
      </c>
      <c r="M614">
        <v>2.0560819722171502</v>
      </c>
      <c r="N614">
        <v>0</v>
      </c>
    </row>
    <row r="615" spans="9:14" x14ac:dyDescent="0.3">
      <c r="I615">
        <v>612</v>
      </c>
      <c r="J615">
        <v>1.8904043408389319</v>
      </c>
      <c r="K615">
        <v>1</v>
      </c>
      <c r="L615">
        <v>1.046462114920975</v>
      </c>
      <c r="M615">
        <v>2.9368664557599069</v>
      </c>
      <c r="N615">
        <v>0</v>
      </c>
    </row>
    <row r="616" spans="9:14" x14ac:dyDescent="0.3">
      <c r="I616">
        <v>613</v>
      </c>
      <c r="J616">
        <v>2.171404272360506</v>
      </c>
      <c r="K616">
        <v>1</v>
      </c>
      <c r="L616">
        <v>1.6030645271076811</v>
      </c>
      <c r="M616">
        <v>3.7744687994681869</v>
      </c>
      <c r="N616">
        <v>0</v>
      </c>
    </row>
    <row r="617" spans="9:14" x14ac:dyDescent="0.3">
      <c r="I617">
        <v>614</v>
      </c>
      <c r="J617">
        <v>1.7925874231939869</v>
      </c>
      <c r="K617">
        <v>1</v>
      </c>
      <c r="L617">
        <v>1.9409121307448129</v>
      </c>
      <c r="M617">
        <v>3.7334995539387998</v>
      </c>
      <c r="N617">
        <v>0</v>
      </c>
    </row>
    <row r="618" spans="9:14" x14ac:dyDescent="0.3">
      <c r="I618">
        <v>615</v>
      </c>
      <c r="J618">
        <v>1.7986307281112841</v>
      </c>
      <c r="K618">
        <v>0</v>
      </c>
      <c r="L618">
        <v>0</v>
      </c>
      <c r="M618">
        <v>1.7986307281112841</v>
      </c>
      <c r="N618">
        <v>1</v>
      </c>
    </row>
    <row r="619" spans="9:14" x14ac:dyDescent="0.3">
      <c r="I619">
        <v>616</v>
      </c>
      <c r="J619">
        <v>2.09868843509551</v>
      </c>
      <c r="K619">
        <v>0</v>
      </c>
      <c r="L619">
        <v>0</v>
      </c>
      <c r="M619">
        <v>2.09868843509551</v>
      </c>
      <c r="N619">
        <v>0</v>
      </c>
    </row>
    <row r="620" spans="9:14" x14ac:dyDescent="0.3">
      <c r="I620">
        <v>617</v>
      </c>
      <c r="J620">
        <v>1.858540595115292</v>
      </c>
      <c r="K620">
        <v>0</v>
      </c>
      <c r="L620">
        <v>0</v>
      </c>
      <c r="M620">
        <v>1.858540595115292</v>
      </c>
      <c r="N620">
        <v>1</v>
      </c>
    </row>
    <row r="621" spans="9:14" x14ac:dyDescent="0.3">
      <c r="I621">
        <v>618</v>
      </c>
      <c r="J621">
        <v>2.607617380579212</v>
      </c>
      <c r="K621">
        <v>0</v>
      </c>
      <c r="L621">
        <v>0</v>
      </c>
      <c r="M621">
        <v>2.607617380579212</v>
      </c>
      <c r="N621">
        <v>0</v>
      </c>
    </row>
    <row r="622" spans="9:14" x14ac:dyDescent="0.3">
      <c r="I622">
        <v>619</v>
      </c>
      <c r="J622">
        <v>2.046646648033323</v>
      </c>
      <c r="K622">
        <v>0</v>
      </c>
      <c r="L622">
        <v>0</v>
      </c>
      <c r="M622">
        <v>2.046646648033323</v>
      </c>
      <c r="N622">
        <v>0</v>
      </c>
    </row>
    <row r="623" spans="9:14" x14ac:dyDescent="0.3">
      <c r="I623">
        <v>620</v>
      </c>
      <c r="J623">
        <v>2.2668604542774919</v>
      </c>
      <c r="K623">
        <v>1</v>
      </c>
      <c r="L623">
        <v>1.4430648702609321</v>
      </c>
      <c r="M623">
        <v>3.7099253245384252</v>
      </c>
      <c r="N623">
        <v>0</v>
      </c>
    </row>
    <row r="624" spans="9:14" x14ac:dyDescent="0.3">
      <c r="I624">
        <v>621</v>
      </c>
      <c r="J624">
        <v>1.883518499330292</v>
      </c>
      <c r="K624">
        <v>1</v>
      </c>
      <c r="L624">
        <v>1.386176030337877</v>
      </c>
      <c r="M624">
        <v>3.2696945296681692</v>
      </c>
      <c r="N624">
        <v>0</v>
      </c>
    </row>
    <row r="625" spans="9:14" x14ac:dyDescent="0.3">
      <c r="I625">
        <v>622</v>
      </c>
      <c r="J625">
        <v>2.5244692367693728</v>
      </c>
      <c r="K625">
        <v>0</v>
      </c>
      <c r="L625">
        <v>0</v>
      </c>
      <c r="M625">
        <v>2.5244692367693728</v>
      </c>
      <c r="N625">
        <v>0</v>
      </c>
    </row>
    <row r="626" spans="9:14" x14ac:dyDescent="0.3">
      <c r="I626">
        <v>623</v>
      </c>
      <c r="J626">
        <v>2.1622780014134482</v>
      </c>
      <c r="K626">
        <v>1</v>
      </c>
      <c r="L626">
        <v>1.1600172364082231</v>
      </c>
      <c r="M626">
        <v>3.3222952378216708</v>
      </c>
      <c r="N626">
        <v>0</v>
      </c>
    </row>
    <row r="627" spans="9:14" x14ac:dyDescent="0.3">
      <c r="I627">
        <v>624</v>
      </c>
      <c r="J627">
        <v>2.0534455269361169</v>
      </c>
      <c r="K627">
        <v>1</v>
      </c>
      <c r="L627">
        <v>1.0406834824483691</v>
      </c>
      <c r="M627">
        <v>3.0941290093844862</v>
      </c>
      <c r="N627">
        <v>0</v>
      </c>
    </row>
    <row r="628" spans="9:14" x14ac:dyDescent="0.3">
      <c r="I628">
        <v>625</v>
      </c>
      <c r="J628">
        <v>2.0750430833243731</v>
      </c>
      <c r="K628">
        <v>0</v>
      </c>
      <c r="L628">
        <v>0</v>
      </c>
      <c r="M628">
        <v>2.0750430833243731</v>
      </c>
      <c r="N628">
        <v>0</v>
      </c>
    </row>
    <row r="629" spans="9:14" x14ac:dyDescent="0.3">
      <c r="I629">
        <v>626</v>
      </c>
      <c r="J629">
        <v>1.259358561031825</v>
      </c>
      <c r="K629">
        <v>1</v>
      </c>
      <c r="L629">
        <v>1.5906908222298499</v>
      </c>
      <c r="M629">
        <v>2.850049383261676</v>
      </c>
      <c r="N629">
        <v>0</v>
      </c>
    </row>
    <row r="630" spans="9:14" x14ac:dyDescent="0.3">
      <c r="I630">
        <v>627</v>
      </c>
      <c r="J630">
        <v>2.2254548939777341</v>
      </c>
      <c r="K630">
        <v>0</v>
      </c>
      <c r="L630">
        <v>0</v>
      </c>
      <c r="M630">
        <v>2.2254548939777341</v>
      </c>
      <c r="N630">
        <v>0</v>
      </c>
    </row>
    <row r="631" spans="9:14" x14ac:dyDescent="0.3">
      <c r="I631">
        <v>628</v>
      </c>
      <c r="J631">
        <v>2.2409134432315359</v>
      </c>
      <c r="K631">
        <v>0</v>
      </c>
      <c r="L631">
        <v>0</v>
      </c>
      <c r="M631">
        <v>2.2409134432315359</v>
      </c>
      <c r="N631">
        <v>0</v>
      </c>
    </row>
    <row r="632" spans="9:14" x14ac:dyDescent="0.3">
      <c r="I632">
        <v>629</v>
      </c>
      <c r="J632">
        <v>1.4869592687278179</v>
      </c>
      <c r="K632">
        <v>1</v>
      </c>
      <c r="L632">
        <v>1.121770618680376</v>
      </c>
      <c r="M632">
        <v>2.6087298874081939</v>
      </c>
      <c r="N632">
        <v>0</v>
      </c>
    </row>
    <row r="633" spans="9:14" x14ac:dyDescent="0.3">
      <c r="I633">
        <v>630</v>
      </c>
      <c r="J633">
        <v>1.7707722445892291</v>
      </c>
      <c r="K633">
        <v>0</v>
      </c>
      <c r="L633">
        <v>0</v>
      </c>
      <c r="M633">
        <v>1.7707722445892291</v>
      </c>
      <c r="N633">
        <v>1</v>
      </c>
    </row>
    <row r="634" spans="9:14" x14ac:dyDescent="0.3">
      <c r="I634">
        <v>631</v>
      </c>
      <c r="J634">
        <v>2.5142127229970712</v>
      </c>
      <c r="K634">
        <v>0</v>
      </c>
      <c r="L634">
        <v>0</v>
      </c>
      <c r="M634">
        <v>2.5142127229970712</v>
      </c>
      <c r="N634">
        <v>0</v>
      </c>
    </row>
    <row r="635" spans="9:14" x14ac:dyDescent="0.3">
      <c r="I635">
        <v>632</v>
      </c>
      <c r="J635">
        <v>1.834742217463567</v>
      </c>
      <c r="K635">
        <v>1</v>
      </c>
      <c r="L635">
        <v>1.9997084230290489</v>
      </c>
      <c r="M635">
        <v>3.8344506404926149</v>
      </c>
      <c r="N635">
        <v>0</v>
      </c>
    </row>
    <row r="636" spans="9:14" x14ac:dyDescent="0.3">
      <c r="I636">
        <v>633</v>
      </c>
      <c r="J636">
        <v>1.416083741114214</v>
      </c>
      <c r="K636">
        <v>0</v>
      </c>
      <c r="L636">
        <v>0</v>
      </c>
      <c r="M636">
        <v>1.416083741114214</v>
      </c>
      <c r="N636">
        <v>1</v>
      </c>
    </row>
    <row r="637" spans="9:14" x14ac:dyDescent="0.3">
      <c r="I637">
        <v>634</v>
      </c>
      <c r="J637">
        <v>2.6027518506542791</v>
      </c>
      <c r="K637">
        <v>0</v>
      </c>
      <c r="L637">
        <v>0</v>
      </c>
      <c r="M637">
        <v>2.6027518506542791</v>
      </c>
      <c r="N637">
        <v>0</v>
      </c>
    </row>
    <row r="638" spans="9:14" x14ac:dyDescent="0.3">
      <c r="I638">
        <v>635</v>
      </c>
      <c r="J638">
        <v>1.881916581181694</v>
      </c>
      <c r="K638">
        <v>1</v>
      </c>
      <c r="L638">
        <v>1.327196608922631</v>
      </c>
      <c r="M638">
        <v>3.2091131901043251</v>
      </c>
      <c r="N638">
        <v>0</v>
      </c>
    </row>
    <row r="639" spans="9:14" x14ac:dyDescent="0.3">
      <c r="I639">
        <v>636</v>
      </c>
      <c r="J639">
        <v>1.379647717000011</v>
      </c>
      <c r="K639">
        <v>0</v>
      </c>
      <c r="L639">
        <v>0</v>
      </c>
      <c r="M639">
        <v>1.379647717000011</v>
      </c>
      <c r="N639">
        <v>1</v>
      </c>
    </row>
    <row r="640" spans="9:14" x14ac:dyDescent="0.3">
      <c r="I640">
        <v>637</v>
      </c>
      <c r="J640">
        <v>2.0217072644057241</v>
      </c>
      <c r="K640">
        <v>0</v>
      </c>
      <c r="L640">
        <v>0</v>
      </c>
      <c r="M640">
        <v>2.0217072644057241</v>
      </c>
      <c r="N640">
        <v>0</v>
      </c>
    </row>
    <row r="641" spans="9:14" x14ac:dyDescent="0.3">
      <c r="I641">
        <v>638</v>
      </c>
      <c r="J641">
        <v>1.47817785249254</v>
      </c>
      <c r="K641">
        <v>1</v>
      </c>
      <c r="L641">
        <v>1.4918581089750329</v>
      </c>
      <c r="M641">
        <v>2.9700359614675729</v>
      </c>
      <c r="N641">
        <v>0</v>
      </c>
    </row>
    <row r="642" spans="9:14" x14ac:dyDescent="0.3">
      <c r="I642">
        <v>639</v>
      </c>
      <c r="J642">
        <v>1.43368188694879</v>
      </c>
      <c r="K642">
        <v>0</v>
      </c>
      <c r="L642">
        <v>0</v>
      </c>
      <c r="M642">
        <v>1.43368188694879</v>
      </c>
      <c r="N642">
        <v>1</v>
      </c>
    </row>
    <row r="643" spans="9:14" x14ac:dyDescent="0.3">
      <c r="I643">
        <v>640</v>
      </c>
      <c r="J643">
        <v>2.4035367030530801</v>
      </c>
      <c r="K643">
        <v>1</v>
      </c>
      <c r="L643">
        <v>1.0084473829701259</v>
      </c>
      <c r="M643">
        <v>3.4119840860232058</v>
      </c>
      <c r="N643">
        <v>0</v>
      </c>
    </row>
    <row r="644" spans="9:14" x14ac:dyDescent="0.3">
      <c r="I644">
        <v>641</v>
      </c>
      <c r="J644">
        <v>2.2355500548231388</v>
      </c>
      <c r="K644">
        <v>1</v>
      </c>
      <c r="L644">
        <v>1.0466586002338769</v>
      </c>
      <c r="M644">
        <v>3.282208655057016</v>
      </c>
      <c r="N644">
        <v>0</v>
      </c>
    </row>
    <row r="645" spans="9:14" x14ac:dyDescent="0.3">
      <c r="I645">
        <v>642</v>
      </c>
      <c r="J645">
        <v>2.1407310919151401</v>
      </c>
      <c r="K645">
        <v>0</v>
      </c>
      <c r="L645">
        <v>0</v>
      </c>
      <c r="M645">
        <v>2.1407310919151401</v>
      </c>
      <c r="N645">
        <v>0</v>
      </c>
    </row>
    <row r="646" spans="9:14" x14ac:dyDescent="0.3">
      <c r="I646">
        <v>643</v>
      </c>
      <c r="J646">
        <v>2.2919197961255482</v>
      </c>
      <c r="K646">
        <v>1</v>
      </c>
      <c r="L646">
        <v>1.3290980781560751</v>
      </c>
      <c r="M646">
        <v>3.6210178742816228</v>
      </c>
      <c r="N646">
        <v>0</v>
      </c>
    </row>
    <row r="647" spans="9:14" x14ac:dyDescent="0.3">
      <c r="I647">
        <v>644</v>
      </c>
      <c r="J647">
        <v>1.895081445662024</v>
      </c>
      <c r="K647">
        <v>1</v>
      </c>
      <c r="L647">
        <v>1.473938180491309</v>
      </c>
      <c r="M647">
        <v>3.3690196261533329</v>
      </c>
      <c r="N647">
        <v>0</v>
      </c>
    </row>
    <row r="648" spans="9:14" x14ac:dyDescent="0.3">
      <c r="I648">
        <v>645</v>
      </c>
      <c r="J648">
        <v>2.3122536604737971</v>
      </c>
      <c r="K648">
        <v>1</v>
      </c>
      <c r="L648">
        <v>1.5270188134533109</v>
      </c>
      <c r="M648">
        <v>3.839272473927108</v>
      </c>
      <c r="N648">
        <v>0</v>
      </c>
    </row>
    <row r="649" spans="9:14" x14ac:dyDescent="0.3">
      <c r="I649">
        <v>646</v>
      </c>
      <c r="J649">
        <v>2.184294447188432</v>
      </c>
      <c r="K649">
        <v>0</v>
      </c>
      <c r="L649">
        <v>0</v>
      </c>
      <c r="M649">
        <v>2.184294447188432</v>
      </c>
      <c r="N649">
        <v>0</v>
      </c>
    </row>
    <row r="650" spans="9:14" x14ac:dyDescent="0.3">
      <c r="I650">
        <v>647</v>
      </c>
      <c r="J650">
        <v>2.1531566287548678</v>
      </c>
      <c r="K650">
        <v>1</v>
      </c>
      <c r="L650">
        <v>1.1535660948006989</v>
      </c>
      <c r="M650">
        <v>3.3067227235555672</v>
      </c>
      <c r="N650">
        <v>0</v>
      </c>
    </row>
    <row r="651" spans="9:14" x14ac:dyDescent="0.3">
      <c r="I651">
        <v>648</v>
      </c>
      <c r="J651">
        <v>2.674590180956141</v>
      </c>
      <c r="K651">
        <v>1</v>
      </c>
      <c r="L651">
        <v>1.45188285055705</v>
      </c>
      <c r="M651">
        <v>4.126473031513191</v>
      </c>
      <c r="N651">
        <v>0</v>
      </c>
    </row>
    <row r="652" spans="9:14" x14ac:dyDescent="0.3">
      <c r="I652">
        <v>649</v>
      </c>
      <c r="J652">
        <v>1.8963054539332911</v>
      </c>
      <c r="K652">
        <v>0</v>
      </c>
      <c r="L652">
        <v>0</v>
      </c>
      <c r="M652">
        <v>1.8963054539332911</v>
      </c>
      <c r="N652">
        <v>1</v>
      </c>
    </row>
    <row r="653" spans="9:14" x14ac:dyDescent="0.3">
      <c r="I653">
        <v>650</v>
      </c>
      <c r="J653">
        <v>2.6362559903745</v>
      </c>
      <c r="K653">
        <v>1</v>
      </c>
      <c r="L653">
        <v>1.8154655140938449</v>
      </c>
      <c r="M653">
        <v>4.4517215044683454</v>
      </c>
      <c r="N653">
        <v>0</v>
      </c>
    </row>
    <row r="654" spans="9:14" x14ac:dyDescent="0.3">
      <c r="I654">
        <v>651</v>
      </c>
      <c r="J654">
        <v>1.967204032795834</v>
      </c>
      <c r="K654">
        <v>0</v>
      </c>
      <c r="L654">
        <v>0</v>
      </c>
      <c r="M654">
        <v>1.967204032795834</v>
      </c>
      <c r="N654">
        <v>1</v>
      </c>
    </row>
    <row r="655" spans="9:14" x14ac:dyDescent="0.3">
      <c r="I655">
        <v>652</v>
      </c>
      <c r="J655">
        <v>1.9214609193075569</v>
      </c>
      <c r="K655">
        <v>1</v>
      </c>
      <c r="L655">
        <v>1.7558452063858281</v>
      </c>
      <c r="M655">
        <v>3.6773061256933852</v>
      </c>
      <c r="N655">
        <v>0</v>
      </c>
    </row>
    <row r="656" spans="9:14" x14ac:dyDescent="0.3">
      <c r="I656">
        <v>653</v>
      </c>
      <c r="J656">
        <v>1.4733790202633501</v>
      </c>
      <c r="K656">
        <v>0</v>
      </c>
      <c r="L656">
        <v>0</v>
      </c>
      <c r="M656">
        <v>1.4733790202633501</v>
      </c>
      <c r="N656">
        <v>1</v>
      </c>
    </row>
    <row r="657" spans="9:14" x14ac:dyDescent="0.3">
      <c r="I657">
        <v>654</v>
      </c>
      <c r="J657">
        <v>2.7140275258719679</v>
      </c>
      <c r="K657">
        <v>1</v>
      </c>
      <c r="L657">
        <v>1.211109573965071</v>
      </c>
      <c r="M657">
        <v>3.925137099837039</v>
      </c>
      <c r="N657">
        <v>0</v>
      </c>
    </row>
    <row r="658" spans="9:14" x14ac:dyDescent="0.3">
      <c r="I658">
        <v>655</v>
      </c>
      <c r="J658">
        <v>2.5422254312471328</v>
      </c>
      <c r="K658">
        <v>1</v>
      </c>
      <c r="L658">
        <v>1.880139667123133</v>
      </c>
      <c r="M658">
        <v>4.4223650983702658</v>
      </c>
      <c r="N658">
        <v>0</v>
      </c>
    </row>
    <row r="659" spans="9:14" x14ac:dyDescent="0.3">
      <c r="I659">
        <v>656</v>
      </c>
      <c r="J659">
        <v>2.125816942545828</v>
      </c>
      <c r="K659">
        <v>0</v>
      </c>
      <c r="L659">
        <v>0</v>
      </c>
      <c r="M659">
        <v>2.125816942545828</v>
      </c>
      <c r="N659">
        <v>0</v>
      </c>
    </row>
    <row r="660" spans="9:14" x14ac:dyDescent="0.3">
      <c r="I660">
        <v>657</v>
      </c>
      <c r="J660">
        <v>1.367369122073304</v>
      </c>
      <c r="K660">
        <v>0</v>
      </c>
      <c r="L660">
        <v>0</v>
      </c>
      <c r="M660">
        <v>1.367369122073304</v>
      </c>
      <c r="N660">
        <v>1</v>
      </c>
    </row>
    <row r="661" spans="9:14" x14ac:dyDescent="0.3">
      <c r="I661">
        <v>658</v>
      </c>
      <c r="J661">
        <v>2.1364176642068631</v>
      </c>
      <c r="K661">
        <v>0</v>
      </c>
      <c r="L661">
        <v>0</v>
      </c>
      <c r="M661">
        <v>2.1364176642068631</v>
      </c>
      <c r="N661">
        <v>0</v>
      </c>
    </row>
    <row r="662" spans="9:14" x14ac:dyDescent="0.3">
      <c r="I662">
        <v>659</v>
      </c>
      <c r="J662">
        <v>1.631808371828394</v>
      </c>
      <c r="K662">
        <v>0</v>
      </c>
      <c r="L662">
        <v>0</v>
      </c>
      <c r="M662">
        <v>1.631808371828394</v>
      </c>
      <c r="N662">
        <v>1</v>
      </c>
    </row>
    <row r="663" spans="9:14" x14ac:dyDescent="0.3">
      <c r="I663">
        <v>660</v>
      </c>
      <c r="J663">
        <v>1.8453666722686941</v>
      </c>
      <c r="K663">
        <v>1</v>
      </c>
      <c r="L663">
        <v>1.9649878803577341</v>
      </c>
      <c r="M663">
        <v>3.810354552626428</v>
      </c>
      <c r="N663">
        <v>0</v>
      </c>
    </row>
    <row r="664" spans="9:14" x14ac:dyDescent="0.3">
      <c r="I664">
        <v>661</v>
      </c>
      <c r="J664">
        <v>2.3096860991527381</v>
      </c>
      <c r="K664">
        <v>0</v>
      </c>
      <c r="L664">
        <v>0</v>
      </c>
      <c r="M664">
        <v>2.3096860991527381</v>
      </c>
      <c r="N664">
        <v>0</v>
      </c>
    </row>
    <row r="665" spans="9:14" x14ac:dyDescent="0.3">
      <c r="I665">
        <v>662</v>
      </c>
      <c r="J665">
        <v>1.7270351819039209</v>
      </c>
      <c r="K665">
        <v>1</v>
      </c>
      <c r="L665">
        <v>1.384943435181998</v>
      </c>
      <c r="M665">
        <v>3.1119786170859189</v>
      </c>
      <c r="N665">
        <v>0</v>
      </c>
    </row>
    <row r="666" spans="9:14" x14ac:dyDescent="0.3">
      <c r="I666">
        <v>663</v>
      </c>
      <c r="J666">
        <v>1.689216962286952</v>
      </c>
      <c r="K666">
        <v>1</v>
      </c>
      <c r="L666">
        <v>1.1686677953042519</v>
      </c>
      <c r="M666">
        <v>2.8578847575912039</v>
      </c>
      <c r="N666">
        <v>0</v>
      </c>
    </row>
    <row r="667" spans="9:14" x14ac:dyDescent="0.3">
      <c r="I667">
        <v>664</v>
      </c>
      <c r="J667">
        <v>2.0542388485411669</v>
      </c>
      <c r="K667">
        <v>0</v>
      </c>
      <c r="L667">
        <v>0</v>
      </c>
      <c r="M667">
        <v>2.0542388485411669</v>
      </c>
      <c r="N667">
        <v>0</v>
      </c>
    </row>
    <row r="668" spans="9:14" x14ac:dyDescent="0.3">
      <c r="I668">
        <v>665</v>
      </c>
      <c r="J668">
        <v>2.2307691377844652</v>
      </c>
      <c r="K668">
        <v>1</v>
      </c>
      <c r="L668">
        <v>1.2742831047032059</v>
      </c>
      <c r="M668">
        <v>3.5050522424876709</v>
      </c>
      <c r="N668">
        <v>0</v>
      </c>
    </row>
    <row r="669" spans="9:14" x14ac:dyDescent="0.3">
      <c r="I669">
        <v>666</v>
      </c>
      <c r="J669">
        <v>1.5477607189482521</v>
      </c>
      <c r="K669">
        <v>0</v>
      </c>
      <c r="L669">
        <v>0</v>
      </c>
      <c r="M669">
        <v>1.5477607189482521</v>
      </c>
      <c r="N669">
        <v>1</v>
      </c>
    </row>
    <row r="670" spans="9:14" x14ac:dyDescent="0.3">
      <c r="I670">
        <v>667</v>
      </c>
      <c r="J670">
        <v>1.8856899304806269</v>
      </c>
      <c r="K670">
        <v>0</v>
      </c>
      <c r="L670">
        <v>0</v>
      </c>
      <c r="M670">
        <v>1.8856899304806269</v>
      </c>
      <c r="N670">
        <v>1</v>
      </c>
    </row>
    <row r="671" spans="9:14" x14ac:dyDescent="0.3">
      <c r="I671">
        <v>668</v>
      </c>
      <c r="J671">
        <v>1.619239774459714</v>
      </c>
      <c r="K671">
        <v>0</v>
      </c>
      <c r="L671">
        <v>0</v>
      </c>
      <c r="M671">
        <v>1.619239774459714</v>
      </c>
      <c r="N671">
        <v>1</v>
      </c>
    </row>
    <row r="672" spans="9:14" x14ac:dyDescent="0.3">
      <c r="I672">
        <v>669</v>
      </c>
      <c r="J672">
        <v>1.6862417027283509</v>
      </c>
      <c r="K672">
        <v>0</v>
      </c>
      <c r="L672">
        <v>0</v>
      </c>
      <c r="M672">
        <v>1.6862417027283509</v>
      </c>
      <c r="N672">
        <v>1</v>
      </c>
    </row>
    <row r="673" spans="9:14" x14ac:dyDescent="0.3">
      <c r="I673">
        <v>670</v>
      </c>
      <c r="J673">
        <v>2.0686868018452991</v>
      </c>
      <c r="K673">
        <v>0</v>
      </c>
      <c r="L673">
        <v>0</v>
      </c>
      <c r="M673">
        <v>2.0686868018452991</v>
      </c>
      <c r="N673">
        <v>0</v>
      </c>
    </row>
    <row r="674" spans="9:14" x14ac:dyDescent="0.3">
      <c r="I674">
        <v>671</v>
      </c>
      <c r="J674">
        <v>1.904140634531071</v>
      </c>
      <c r="K674">
        <v>1</v>
      </c>
      <c r="L674">
        <v>1.800978328055846</v>
      </c>
      <c r="M674">
        <v>3.705118962586917</v>
      </c>
      <c r="N674">
        <v>0</v>
      </c>
    </row>
    <row r="675" spans="9:14" x14ac:dyDescent="0.3">
      <c r="I675">
        <v>672</v>
      </c>
      <c r="J675">
        <v>2.0886211668363002</v>
      </c>
      <c r="K675">
        <v>1</v>
      </c>
      <c r="L675">
        <v>1.6949521165050441</v>
      </c>
      <c r="M675">
        <v>3.7835732833413429</v>
      </c>
      <c r="N675">
        <v>0</v>
      </c>
    </row>
    <row r="676" spans="9:14" x14ac:dyDescent="0.3">
      <c r="I676">
        <v>673</v>
      </c>
      <c r="J676">
        <v>2.0104132263513179</v>
      </c>
      <c r="K676">
        <v>0</v>
      </c>
      <c r="L676">
        <v>0</v>
      </c>
      <c r="M676">
        <v>2.0104132263513179</v>
      </c>
      <c r="N676">
        <v>0</v>
      </c>
    </row>
    <row r="677" spans="9:14" x14ac:dyDescent="0.3">
      <c r="I677">
        <v>674</v>
      </c>
      <c r="J677">
        <v>1.890866551649885</v>
      </c>
      <c r="K677">
        <v>0</v>
      </c>
      <c r="L677">
        <v>0</v>
      </c>
      <c r="M677">
        <v>1.890866551649885</v>
      </c>
      <c r="N677">
        <v>1</v>
      </c>
    </row>
    <row r="678" spans="9:14" x14ac:dyDescent="0.3">
      <c r="I678">
        <v>675</v>
      </c>
      <c r="J678">
        <v>2.0341505537982121</v>
      </c>
      <c r="K678">
        <v>0</v>
      </c>
      <c r="L678">
        <v>0</v>
      </c>
      <c r="M678">
        <v>2.0341505537982121</v>
      </c>
      <c r="N678">
        <v>0</v>
      </c>
    </row>
    <row r="679" spans="9:14" x14ac:dyDescent="0.3">
      <c r="I679">
        <v>676</v>
      </c>
      <c r="J679">
        <v>2.3799285100826291</v>
      </c>
      <c r="K679">
        <v>1</v>
      </c>
      <c r="L679">
        <v>1.0047671594184611</v>
      </c>
      <c r="M679">
        <v>3.3846956695010899</v>
      </c>
      <c r="N679">
        <v>0</v>
      </c>
    </row>
    <row r="680" spans="9:14" x14ac:dyDescent="0.3">
      <c r="I680">
        <v>677</v>
      </c>
      <c r="J680">
        <v>1.996573728151362</v>
      </c>
      <c r="K680">
        <v>1</v>
      </c>
      <c r="L680">
        <v>1.9146255817797391</v>
      </c>
      <c r="M680">
        <v>3.9111993099311011</v>
      </c>
      <c r="N680">
        <v>0</v>
      </c>
    </row>
    <row r="681" spans="9:14" x14ac:dyDescent="0.3">
      <c r="I681">
        <v>678</v>
      </c>
      <c r="J681">
        <v>1.882225687673158</v>
      </c>
      <c r="K681">
        <v>0</v>
      </c>
      <c r="L681">
        <v>0</v>
      </c>
      <c r="M681">
        <v>1.882225687673158</v>
      </c>
      <c r="N681">
        <v>1</v>
      </c>
    </row>
    <row r="682" spans="9:14" x14ac:dyDescent="0.3">
      <c r="I682">
        <v>679</v>
      </c>
      <c r="J682">
        <v>2.0545846929159892</v>
      </c>
      <c r="K682">
        <v>0</v>
      </c>
      <c r="L682">
        <v>0</v>
      </c>
      <c r="M682">
        <v>2.0545846929159892</v>
      </c>
      <c r="N682">
        <v>0</v>
      </c>
    </row>
    <row r="683" spans="9:14" x14ac:dyDescent="0.3">
      <c r="I683">
        <v>680</v>
      </c>
      <c r="J683">
        <v>2.398865038416397</v>
      </c>
      <c r="K683">
        <v>1</v>
      </c>
      <c r="L683">
        <v>1.300873181079008</v>
      </c>
      <c r="M683">
        <v>3.6997382194954058</v>
      </c>
      <c r="N683">
        <v>0</v>
      </c>
    </row>
    <row r="684" spans="9:14" x14ac:dyDescent="0.3">
      <c r="I684">
        <v>681</v>
      </c>
      <c r="J684">
        <v>1.883773136698065</v>
      </c>
      <c r="K684">
        <v>0</v>
      </c>
      <c r="L684">
        <v>0</v>
      </c>
      <c r="M684">
        <v>1.883773136698065</v>
      </c>
      <c r="N684">
        <v>1</v>
      </c>
    </row>
    <row r="685" spans="9:14" x14ac:dyDescent="0.3">
      <c r="I685">
        <v>682</v>
      </c>
      <c r="J685">
        <v>1.6593554603684479</v>
      </c>
      <c r="K685">
        <v>0</v>
      </c>
      <c r="L685">
        <v>0</v>
      </c>
      <c r="M685">
        <v>1.6593554603684479</v>
      </c>
      <c r="N685">
        <v>1</v>
      </c>
    </row>
    <row r="686" spans="9:14" x14ac:dyDescent="0.3">
      <c r="I686">
        <v>683</v>
      </c>
      <c r="J686">
        <v>2.2830998620412561</v>
      </c>
      <c r="K686">
        <v>1</v>
      </c>
      <c r="L686">
        <v>1.184047604637205</v>
      </c>
      <c r="M686">
        <v>3.467147466678461</v>
      </c>
      <c r="N686">
        <v>0</v>
      </c>
    </row>
    <row r="687" spans="9:14" x14ac:dyDescent="0.3">
      <c r="I687">
        <v>684</v>
      </c>
      <c r="J687">
        <v>2.0220855622700489</v>
      </c>
      <c r="K687">
        <v>0</v>
      </c>
      <c r="L687">
        <v>0</v>
      </c>
      <c r="M687">
        <v>2.0220855622700489</v>
      </c>
      <c r="N687">
        <v>0</v>
      </c>
    </row>
    <row r="688" spans="9:14" x14ac:dyDescent="0.3">
      <c r="I688">
        <v>685</v>
      </c>
      <c r="J688">
        <v>2.1329903953044171</v>
      </c>
      <c r="K688">
        <v>1</v>
      </c>
      <c r="L688">
        <v>1.8024291075209069</v>
      </c>
      <c r="M688">
        <v>3.935419502825324</v>
      </c>
      <c r="N688">
        <v>0</v>
      </c>
    </row>
    <row r="689" spans="9:14" x14ac:dyDescent="0.3">
      <c r="I689">
        <v>686</v>
      </c>
      <c r="J689">
        <v>1.5060195565413881</v>
      </c>
      <c r="K689">
        <v>0</v>
      </c>
      <c r="L689">
        <v>0</v>
      </c>
      <c r="M689">
        <v>1.5060195565413881</v>
      </c>
      <c r="N689">
        <v>1</v>
      </c>
    </row>
    <row r="690" spans="9:14" x14ac:dyDescent="0.3">
      <c r="I690">
        <v>687</v>
      </c>
      <c r="J690">
        <v>1.5198236767318949</v>
      </c>
      <c r="K690">
        <v>1</v>
      </c>
      <c r="L690">
        <v>1.62803378607557</v>
      </c>
      <c r="M690">
        <v>3.1478574628074649</v>
      </c>
      <c r="N690">
        <v>0</v>
      </c>
    </row>
    <row r="691" spans="9:14" x14ac:dyDescent="0.3">
      <c r="I691">
        <v>688</v>
      </c>
      <c r="J691">
        <v>1.79577024083056</v>
      </c>
      <c r="K691">
        <v>0</v>
      </c>
      <c r="L691">
        <v>0</v>
      </c>
      <c r="M691">
        <v>1.79577024083056</v>
      </c>
      <c r="N691">
        <v>1</v>
      </c>
    </row>
    <row r="692" spans="9:14" x14ac:dyDescent="0.3">
      <c r="I692">
        <v>689</v>
      </c>
      <c r="J692">
        <v>2.169137500731364</v>
      </c>
      <c r="K692">
        <v>1</v>
      </c>
      <c r="L692">
        <v>1.2930867241035811</v>
      </c>
      <c r="M692">
        <v>3.4622242248349449</v>
      </c>
      <c r="N692">
        <v>0</v>
      </c>
    </row>
    <row r="693" spans="9:14" x14ac:dyDescent="0.3">
      <c r="I693">
        <v>690</v>
      </c>
      <c r="J693">
        <v>2.0668040202472331</v>
      </c>
      <c r="K693">
        <v>1</v>
      </c>
      <c r="L693">
        <v>1.9478933636702049</v>
      </c>
      <c r="M693">
        <v>4.0146973839174382</v>
      </c>
      <c r="N693">
        <v>0</v>
      </c>
    </row>
    <row r="694" spans="9:14" x14ac:dyDescent="0.3">
      <c r="I694">
        <v>691</v>
      </c>
      <c r="J694">
        <v>1.522718437161817</v>
      </c>
      <c r="K694">
        <v>1</v>
      </c>
      <c r="L694">
        <v>1.263660096715618</v>
      </c>
      <c r="M694">
        <v>2.7863785338774352</v>
      </c>
      <c r="N694">
        <v>0</v>
      </c>
    </row>
    <row r="695" spans="9:14" x14ac:dyDescent="0.3">
      <c r="I695">
        <v>692</v>
      </c>
      <c r="J695">
        <v>1.642273666359201</v>
      </c>
      <c r="K695">
        <v>0</v>
      </c>
      <c r="L695">
        <v>0</v>
      </c>
      <c r="M695">
        <v>1.642273666359201</v>
      </c>
      <c r="N695">
        <v>1</v>
      </c>
    </row>
    <row r="696" spans="9:14" x14ac:dyDescent="0.3">
      <c r="I696">
        <v>693</v>
      </c>
      <c r="J696">
        <v>2.4628056118186379</v>
      </c>
      <c r="K696">
        <v>0</v>
      </c>
      <c r="L696">
        <v>0</v>
      </c>
      <c r="M696">
        <v>2.4628056118186379</v>
      </c>
      <c r="N696">
        <v>0</v>
      </c>
    </row>
    <row r="697" spans="9:14" x14ac:dyDescent="0.3">
      <c r="I697">
        <v>694</v>
      </c>
      <c r="J697">
        <v>1.5023508399394949</v>
      </c>
      <c r="K697">
        <v>0</v>
      </c>
      <c r="L697">
        <v>0</v>
      </c>
      <c r="M697">
        <v>1.5023508399394949</v>
      </c>
      <c r="N697">
        <v>1</v>
      </c>
    </row>
    <row r="698" spans="9:14" x14ac:dyDescent="0.3">
      <c r="I698">
        <v>695</v>
      </c>
      <c r="J698">
        <v>1.9723667723751319</v>
      </c>
      <c r="K698">
        <v>1</v>
      </c>
      <c r="L698">
        <v>1.234440413429934</v>
      </c>
      <c r="M698">
        <v>3.2068071858050669</v>
      </c>
      <c r="N698">
        <v>0</v>
      </c>
    </row>
    <row r="699" spans="9:14" x14ac:dyDescent="0.3">
      <c r="I699">
        <v>696</v>
      </c>
      <c r="J699">
        <v>2.3027949540564649</v>
      </c>
      <c r="K699">
        <v>1</v>
      </c>
      <c r="L699">
        <v>1.69009699885043</v>
      </c>
      <c r="M699">
        <v>3.9928919529068949</v>
      </c>
      <c r="N699">
        <v>0</v>
      </c>
    </row>
    <row r="700" spans="9:14" x14ac:dyDescent="0.3">
      <c r="I700">
        <v>697</v>
      </c>
      <c r="J700">
        <v>1.944509021782755</v>
      </c>
      <c r="K700">
        <v>1</v>
      </c>
      <c r="L700">
        <v>1.1212425345475709</v>
      </c>
      <c r="M700">
        <v>3.065751556330325</v>
      </c>
      <c r="N700">
        <v>0</v>
      </c>
    </row>
    <row r="701" spans="9:14" x14ac:dyDescent="0.3">
      <c r="I701">
        <v>698</v>
      </c>
      <c r="J701">
        <v>2.0248936194053408</v>
      </c>
      <c r="K701">
        <v>1</v>
      </c>
      <c r="L701">
        <v>1.122424609611459</v>
      </c>
      <c r="M701">
        <v>3.1473182290168</v>
      </c>
      <c r="N701">
        <v>0</v>
      </c>
    </row>
    <row r="702" spans="9:14" x14ac:dyDescent="0.3">
      <c r="I702">
        <v>699</v>
      </c>
      <c r="J702">
        <v>1.598066940728337</v>
      </c>
      <c r="K702">
        <v>0</v>
      </c>
      <c r="L702">
        <v>0</v>
      </c>
      <c r="M702">
        <v>1.598066940728337</v>
      </c>
      <c r="N702">
        <v>1</v>
      </c>
    </row>
    <row r="703" spans="9:14" x14ac:dyDescent="0.3">
      <c r="I703">
        <v>700</v>
      </c>
      <c r="J703">
        <v>1.466595409517778</v>
      </c>
      <c r="K703">
        <v>0</v>
      </c>
      <c r="L703">
        <v>0</v>
      </c>
      <c r="M703">
        <v>1.466595409517778</v>
      </c>
      <c r="N703">
        <v>1</v>
      </c>
    </row>
    <row r="704" spans="9:14" x14ac:dyDescent="0.3">
      <c r="I704">
        <v>701</v>
      </c>
      <c r="J704">
        <v>1.5444629638216361</v>
      </c>
      <c r="K704">
        <v>0</v>
      </c>
      <c r="L704">
        <v>0</v>
      </c>
      <c r="M704">
        <v>1.5444629638216361</v>
      </c>
      <c r="N704">
        <v>1</v>
      </c>
    </row>
    <row r="705" spans="9:14" x14ac:dyDescent="0.3">
      <c r="I705">
        <v>702</v>
      </c>
      <c r="J705">
        <v>2.2116313768969729</v>
      </c>
      <c r="K705">
        <v>1</v>
      </c>
      <c r="L705">
        <v>1.682214393600777</v>
      </c>
      <c r="M705">
        <v>3.8938457704977512</v>
      </c>
      <c r="N705">
        <v>0</v>
      </c>
    </row>
    <row r="706" spans="9:14" x14ac:dyDescent="0.3">
      <c r="I706">
        <v>703</v>
      </c>
      <c r="J706">
        <v>2.4896230316678678</v>
      </c>
      <c r="K706">
        <v>0</v>
      </c>
      <c r="L706">
        <v>0</v>
      </c>
      <c r="M706">
        <v>2.4896230316678678</v>
      </c>
      <c r="N706">
        <v>0</v>
      </c>
    </row>
    <row r="707" spans="9:14" x14ac:dyDescent="0.3">
      <c r="I707">
        <v>704</v>
      </c>
      <c r="J707">
        <v>2.4376454721046241</v>
      </c>
      <c r="K707">
        <v>1</v>
      </c>
      <c r="L707">
        <v>1.5580821065224011</v>
      </c>
      <c r="M707">
        <v>3.995727578627025</v>
      </c>
      <c r="N707">
        <v>0</v>
      </c>
    </row>
    <row r="708" spans="9:14" x14ac:dyDescent="0.3">
      <c r="I708">
        <v>705</v>
      </c>
      <c r="J708">
        <v>2.0476942281274022</v>
      </c>
      <c r="K708">
        <v>0</v>
      </c>
      <c r="L708">
        <v>0</v>
      </c>
      <c r="M708">
        <v>2.0476942281274022</v>
      </c>
      <c r="N708">
        <v>0</v>
      </c>
    </row>
    <row r="709" spans="9:14" x14ac:dyDescent="0.3">
      <c r="I709">
        <v>706</v>
      </c>
      <c r="J709">
        <v>2.3759775281805662</v>
      </c>
      <c r="K709">
        <v>1</v>
      </c>
      <c r="L709">
        <v>1.6092088206260879</v>
      </c>
      <c r="M709">
        <v>3.9851863488066539</v>
      </c>
      <c r="N709">
        <v>0</v>
      </c>
    </row>
    <row r="710" spans="9:14" x14ac:dyDescent="0.3">
      <c r="I710">
        <v>707</v>
      </c>
      <c r="J710">
        <v>2.3466383161114028</v>
      </c>
      <c r="K710">
        <v>0</v>
      </c>
      <c r="L710">
        <v>0</v>
      </c>
      <c r="M710">
        <v>2.3466383161114028</v>
      </c>
      <c r="N710">
        <v>0</v>
      </c>
    </row>
    <row r="711" spans="9:14" x14ac:dyDescent="0.3">
      <c r="I711">
        <v>708</v>
      </c>
      <c r="J711">
        <v>1.496678813358145</v>
      </c>
      <c r="K711">
        <v>0</v>
      </c>
      <c r="L711">
        <v>0</v>
      </c>
      <c r="M711">
        <v>1.496678813358145</v>
      </c>
      <c r="N711">
        <v>1</v>
      </c>
    </row>
    <row r="712" spans="9:14" x14ac:dyDescent="0.3">
      <c r="I712">
        <v>709</v>
      </c>
      <c r="J712">
        <v>2.6024217671823742</v>
      </c>
      <c r="K712">
        <v>1</v>
      </c>
      <c r="L712">
        <v>1.0673614582418669</v>
      </c>
      <c r="M712">
        <v>3.6697832254242408</v>
      </c>
      <c r="N712">
        <v>0</v>
      </c>
    </row>
    <row r="713" spans="9:14" x14ac:dyDescent="0.3">
      <c r="I713">
        <v>710</v>
      </c>
      <c r="J713">
        <v>2.291670542743049</v>
      </c>
      <c r="K713">
        <v>0</v>
      </c>
      <c r="L713">
        <v>0</v>
      </c>
      <c r="M713">
        <v>2.291670542743049</v>
      </c>
      <c r="N713">
        <v>0</v>
      </c>
    </row>
    <row r="714" spans="9:14" x14ac:dyDescent="0.3">
      <c r="I714">
        <v>711</v>
      </c>
      <c r="J714">
        <v>1.8152103726584721</v>
      </c>
      <c r="K714">
        <v>1</v>
      </c>
      <c r="L714">
        <v>1.939456348032083</v>
      </c>
      <c r="M714">
        <v>3.7546667206905551</v>
      </c>
      <c r="N714">
        <v>0</v>
      </c>
    </row>
    <row r="715" spans="9:14" x14ac:dyDescent="0.3">
      <c r="I715">
        <v>712</v>
      </c>
      <c r="J715">
        <v>2.148133148064006</v>
      </c>
      <c r="K715">
        <v>1</v>
      </c>
      <c r="L715">
        <v>1.8402315108878691</v>
      </c>
      <c r="M715">
        <v>3.9883646589518751</v>
      </c>
      <c r="N715">
        <v>0</v>
      </c>
    </row>
    <row r="716" spans="9:14" x14ac:dyDescent="0.3">
      <c r="I716">
        <v>713</v>
      </c>
      <c r="J716">
        <v>1.630358954670462</v>
      </c>
      <c r="K716">
        <v>0</v>
      </c>
      <c r="L716">
        <v>0</v>
      </c>
      <c r="M716">
        <v>1.630358954670462</v>
      </c>
      <c r="N716">
        <v>1</v>
      </c>
    </row>
    <row r="717" spans="9:14" x14ac:dyDescent="0.3">
      <c r="I717">
        <v>714</v>
      </c>
      <c r="J717">
        <v>1.5025721926872739</v>
      </c>
      <c r="K717">
        <v>1</v>
      </c>
      <c r="L717">
        <v>1.6930996217105969</v>
      </c>
      <c r="M717">
        <v>3.1956718143978708</v>
      </c>
      <c r="N717">
        <v>0</v>
      </c>
    </row>
    <row r="718" spans="9:14" x14ac:dyDescent="0.3">
      <c r="I718">
        <v>715</v>
      </c>
      <c r="J718">
        <v>2.4734303770826509</v>
      </c>
      <c r="K718">
        <v>1</v>
      </c>
      <c r="L718">
        <v>1.00684287960334</v>
      </c>
      <c r="M718">
        <v>3.480273256685992</v>
      </c>
      <c r="N718">
        <v>0</v>
      </c>
    </row>
    <row r="719" spans="9:14" x14ac:dyDescent="0.3">
      <c r="I719">
        <v>716</v>
      </c>
      <c r="J719">
        <v>1.636027662832876</v>
      </c>
      <c r="K719">
        <v>1</v>
      </c>
      <c r="L719">
        <v>1.581596786779832</v>
      </c>
      <c r="M719">
        <v>3.2176244496127091</v>
      </c>
      <c r="N719">
        <v>0</v>
      </c>
    </row>
    <row r="720" spans="9:14" x14ac:dyDescent="0.3">
      <c r="I720">
        <v>717</v>
      </c>
      <c r="J720">
        <v>2.0267036932815059</v>
      </c>
      <c r="K720">
        <v>0</v>
      </c>
      <c r="L720">
        <v>0</v>
      </c>
      <c r="M720">
        <v>2.0267036932815059</v>
      </c>
      <c r="N720">
        <v>0</v>
      </c>
    </row>
    <row r="721" spans="9:14" x14ac:dyDescent="0.3">
      <c r="I721">
        <v>718</v>
      </c>
      <c r="J721">
        <v>1.466306794277642</v>
      </c>
      <c r="K721">
        <v>1</v>
      </c>
      <c r="L721">
        <v>1.2679062843619959</v>
      </c>
      <c r="M721">
        <v>2.7342130786396379</v>
      </c>
      <c r="N721">
        <v>0</v>
      </c>
    </row>
    <row r="722" spans="9:14" x14ac:dyDescent="0.3">
      <c r="I722">
        <v>719</v>
      </c>
      <c r="J722">
        <v>1.7246976359891071</v>
      </c>
      <c r="K722">
        <v>1</v>
      </c>
      <c r="L722">
        <v>1.599934084818488</v>
      </c>
      <c r="M722">
        <v>3.3246317208075951</v>
      </c>
      <c r="N722">
        <v>0</v>
      </c>
    </row>
    <row r="723" spans="9:14" x14ac:dyDescent="0.3">
      <c r="I723">
        <v>720</v>
      </c>
      <c r="J723">
        <v>2.763255994561618</v>
      </c>
      <c r="K723">
        <v>1</v>
      </c>
      <c r="L723">
        <v>1.3295657103403451</v>
      </c>
      <c r="M723">
        <v>4.0928217049019624</v>
      </c>
      <c r="N723">
        <v>0</v>
      </c>
    </row>
    <row r="724" spans="9:14" x14ac:dyDescent="0.3">
      <c r="I724">
        <v>721</v>
      </c>
      <c r="J724">
        <v>2.532545507425437</v>
      </c>
      <c r="K724">
        <v>1</v>
      </c>
      <c r="L724">
        <v>1.229257538829778</v>
      </c>
      <c r="M724">
        <v>3.7618030462552152</v>
      </c>
      <c r="N724">
        <v>0</v>
      </c>
    </row>
    <row r="725" spans="9:14" x14ac:dyDescent="0.3">
      <c r="I725">
        <v>722</v>
      </c>
      <c r="J725">
        <v>2.539407682899371</v>
      </c>
      <c r="K725">
        <v>0</v>
      </c>
      <c r="L725">
        <v>0</v>
      </c>
      <c r="M725">
        <v>2.539407682899371</v>
      </c>
      <c r="N725">
        <v>0</v>
      </c>
    </row>
    <row r="726" spans="9:14" x14ac:dyDescent="0.3">
      <c r="I726">
        <v>723</v>
      </c>
      <c r="J726">
        <v>1.9443154824921161</v>
      </c>
      <c r="K726">
        <v>0</v>
      </c>
      <c r="L726">
        <v>0</v>
      </c>
      <c r="M726">
        <v>1.9443154824921161</v>
      </c>
      <c r="N726">
        <v>1</v>
      </c>
    </row>
    <row r="727" spans="9:14" x14ac:dyDescent="0.3">
      <c r="I727">
        <v>724</v>
      </c>
      <c r="J727">
        <v>1.8506990878637659</v>
      </c>
      <c r="K727">
        <v>0</v>
      </c>
      <c r="L727">
        <v>0</v>
      </c>
      <c r="M727">
        <v>1.8506990878637659</v>
      </c>
      <c r="N727">
        <v>1</v>
      </c>
    </row>
    <row r="728" spans="9:14" x14ac:dyDescent="0.3">
      <c r="I728">
        <v>725</v>
      </c>
      <c r="J728">
        <v>2.450434431981106</v>
      </c>
      <c r="K728">
        <v>0</v>
      </c>
      <c r="L728">
        <v>0</v>
      </c>
      <c r="M728">
        <v>2.450434431981106</v>
      </c>
      <c r="N728">
        <v>0</v>
      </c>
    </row>
    <row r="729" spans="9:14" x14ac:dyDescent="0.3">
      <c r="I729">
        <v>726</v>
      </c>
      <c r="J729">
        <v>2.82845450767622</v>
      </c>
      <c r="K729">
        <v>1</v>
      </c>
      <c r="L729">
        <v>1.346526029016015</v>
      </c>
      <c r="M729">
        <v>4.1749805366922361</v>
      </c>
      <c r="N729">
        <v>0</v>
      </c>
    </row>
    <row r="730" spans="9:14" x14ac:dyDescent="0.3">
      <c r="I730">
        <v>727</v>
      </c>
      <c r="J730">
        <v>2.139410001690182</v>
      </c>
      <c r="K730">
        <v>1</v>
      </c>
      <c r="L730">
        <v>1.761296929756353</v>
      </c>
      <c r="M730">
        <v>3.900706931446535</v>
      </c>
      <c r="N730">
        <v>0</v>
      </c>
    </row>
    <row r="731" spans="9:14" x14ac:dyDescent="0.3">
      <c r="I731">
        <v>728</v>
      </c>
      <c r="J731">
        <v>1.901004525844598</v>
      </c>
      <c r="K731">
        <v>0</v>
      </c>
      <c r="L731">
        <v>0</v>
      </c>
      <c r="M731">
        <v>1.901004525844598</v>
      </c>
      <c r="N731">
        <v>1</v>
      </c>
    </row>
    <row r="732" spans="9:14" x14ac:dyDescent="0.3">
      <c r="I732">
        <v>729</v>
      </c>
      <c r="J732">
        <v>2.3777554967973402</v>
      </c>
      <c r="K732">
        <v>1</v>
      </c>
      <c r="L732">
        <v>1.430447113229433</v>
      </c>
      <c r="M732">
        <v>3.8082026100267741</v>
      </c>
      <c r="N732">
        <v>0</v>
      </c>
    </row>
    <row r="733" spans="9:14" x14ac:dyDescent="0.3">
      <c r="I733">
        <v>730</v>
      </c>
      <c r="J733">
        <v>2.4164217244177171</v>
      </c>
      <c r="K733">
        <v>1</v>
      </c>
      <c r="L733">
        <v>1.746553775298376</v>
      </c>
      <c r="M733">
        <v>4.1629754997160928</v>
      </c>
      <c r="N733">
        <v>0</v>
      </c>
    </row>
    <row r="734" spans="9:14" x14ac:dyDescent="0.3">
      <c r="I734">
        <v>731</v>
      </c>
      <c r="J734">
        <v>1.446947474572942</v>
      </c>
      <c r="K734">
        <v>0</v>
      </c>
      <c r="L734">
        <v>0</v>
      </c>
      <c r="M734">
        <v>1.446947474572942</v>
      </c>
      <c r="N734">
        <v>1</v>
      </c>
    </row>
    <row r="735" spans="9:14" x14ac:dyDescent="0.3">
      <c r="I735">
        <v>732</v>
      </c>
      <c r="J735">
        <v>2.2284547710459979</v>
      </c>
      <c r="K735">
        <v>1</v>
      </c>
      <c r="L735">
        <v>1.587279568908645</v>
      </c>
      <c r="M735">
        <v>3.8157343399546422</v>
      </c>
      <c r="N735">
        <v>0</v>
      </c>
    </row>
    <row r="736" spans="9:14" x14ac:dyDescent="0.3">
      <c r="I736">
        <v>733</v>
      </c>
      <c r="J736">
        <v>2.2318969217801832</v>
      </c>
      <c r="K736">
        <v>1</v>
      </c>
      <c r="L736">
        <v>1.278679276847694</v>
      </c>
      <c r="M736">
        <v>3.5105761986278772</v>
      </c>
      <c r="N736">
        <v>0</v>
      </c>
    </row>
    <row r="737" spans="9:14" x14ac:dyDescent="0.3">
      <c r="I737">
        <v>734</v>
      </c>
      <c r="J737">
        <v>2.2448044670038261</v>
      </c>
      <c r="K737">
        <v>0</v>
      </c>
      <c r="L737">
        <v>0</v>
      </c>
      <c r="M737">
        <v>2.2448044670038261</v>
      </c>
      <c r="N737">
        <v>0</v>
      </c>
    </row>
    <row r="738" spans="9:14" x14ac:dyDescent="0.3">
      <c r="I738">
        <v>735</v>
      </c>
      <c r="J738">
        <v>1.4565610680337691</v>
      </c>
      <c r="K738">
        <v>1</v>
      </c>
      <c r="L738">
        <v>1.4636898462215779</v>
      </c>
      <c r="M738">
        <v>2.9202509142553472</v>
      </c>
      <c r="N738">
        <v>0</v>
      </c>
    </row>
    <row r="739" spans="9:14" x14ac:dyDescent="0.3">
      <c r="I739">
        <v>736</v>
      </c>
      <c r="J739">
        <v>2.330922589029683</v>
      </c>
      <c r="K739">
        <v>0</v>
      </c>
      <c r="L739">
        <v>0</v>
      </c>
      <c r="M739">
        <v>2.330922589029683</v>
      </c>
      <c r="N739">
        <v>0</v>
      </c>
    </row>
    <row r="740" spans="9:14" x14ac:dyDescent="0.3">
      <c r="I740">
        <v>737</v>
      </c>
      <c r="J740">
        <v>2.5241168545290118</v>
      </c>
      <c r="K740">
        <v>1</v>
      </c>
      <c r="L740">
        <v>1.863006240462564</v>
      </c>
      <c r="M740">
        <v>4.3871230949915763</v>
      </c>
      <c r="N740">
        <v>0</v>
      </c>
    </row>
    <row r="741" spans="9:14" x14ac:dyDescent="0.3">
      <c r="I741">
        <v>738</v>
      </c>
      <c r="J741">
        <v>1.641598442474753</v>
      </c>
      <c r="K741">
        <v>0</v>
      </c>
      <c r="L741">
        <v>0</v>
      </c>
      <c r="M741">
        <v>1.641598442474753</v>
      </c>
      <c r="N741">
        <v>1</v>
      </c>
    </row>
    <row r="742" spans="9:14" x14ac:dyDescent="0.3">
      <c r="I742">
        <v>739</v>
      </c>
      <c r="J742">
        <v>1.899449693641857</v>
      </c>
      <c r="K742">
        <v>0</v>
      </c>
      <c r="L742">
        <v>0</v>
      </c>
      <c r="M742">
        <v>1.899449693641857</v>
      </c>
      <c r="N742">
        <v>1</v>
      </c>
    </row>
    <row r="743" spans="9:14" x14ac:dyDescent="0.3">
      <c r="I743">
        <v>740</v>
      </c>
      <c r="J743">
        <v>2.0279914202487772</v>
      </c>
      <c r="K743">
        <v>1</v>
      </c>
      <c r="L743">
        <v>1.2904082299089461</v>
      </c>
      <c r="M743">
        <v>3.3183996501577231</v>
      </c>
      <c r="N743">
        <v>0</v>
      </c>
    </row>
    <row r="744" spans="9:14" x14ac:dyDescent="0.3">
      <c r="I744">
        <v>741</v>
      </c>
      <c r="J744">
        <v>2.7734539672370202</v>
      </c>
      <c r="K744">
        <v>1</v>
      </c>
      <c r="L744">
        <v>1.221555037481199</v>
      </c>
      <c r="M744">
        <v>3.9950090047182178</v>
      </c>
      <c r="N744">
        <v>0</v>
      </c>
    </row>
    <row r="745" spans="9:14" x14ac:dyDescent="0.3">
      <c r="I745">
        <v>742</v>
      </c>
      <c r="J745">
        <v>1.9710377132121251</v>
      </c>
      <c r="K745">
        <v>0</v>
      </c>
      <c r="L745">
        <v>0</v>
      </c>
      <c r="M745">
        <v>1.9710377132121251</v>
      </c>
      <c r="N745">
        <v>1</v>
      </c>
    </row>
    <row r="746" spans="9:14" x14ac:dyDescent="0.3">
      <c r="I746">
        <v>743</v>
      </c>
      <c r="J746">
        <v>2.0498884846728291</v>
      </c>
      <c r="K746">
        <v>1</v>
      </c>
      <c r="L746">
        <v>1.466559413689593</v>
      </c>
      <c r="M746">
        <v>3.5164478983624221</v>
      </c>
      <c r="N746">
        <v>0</v>
      </c>
    </row>
    <row r="747" spans="9:14" x14ac:dyDescent="0.3">
      <c r="I747">
        <v>744</v>
      </c>
      <c r="J747">
        <v>1.9980356341503449</v>
      </c>
      <c r="K747">
        <v>0</v>
      </c>
      <c r="L747">
        <v>0</v>
      </c>
      <c r="M747">
        <v>1.9980356341503449</v>
      </c>
      <c r="N747">
        <v>1</v>
      </c>
    </row>
    <row r="748" spans="9:14" x14ac:dyDescent="0.3">
      <c r="I748">
        <v>745</v>
      </c>
      <c r="J748">
        <v>1.4035841488104801</v>
      </c>
      <c r="K748">
        <v>1</v>
      </c>
      <c r="L748">
        <v>1.5242881544821141</v>
      </c>
      <c r="M748">
        <v>2.927872303292594</v>
      </c>
      <c r="N748">
        <v>0</v>
      </c>
    </row>
    <row r="749" spans="9:14" x14ac:dyDescent="0.3">
      <c r="I749">
        <v>746</v>
      </c>
      <c r="J749">
        <v>2.2010081622968451</v>
      </c>
      <c r="K749">
        <v>1</v>
      </c>
      <c r="L749">
        <v>1.8992455863800259</v>
      </c>
      <c r="M749">
        <v>4.1002537486768711</v>
      </c>
      <c r="N749">
        <v>0</v>
      </c>
    </row>
    <row r="750" spans="9:14" x14ac:dyDescent="0.3">
      <c r="I750">
        <v>747</v>
      </c>
      <c r="J750">
        <v>1.8606920740197359</v>
      </c>
      <c r="K750">
        <v>1</v>
      </c>
      <c r="L750">
        <v>1.8712394285045051</v>
      </c>
      <c r="M750">
        <v>3.7319315025242412</v>
      </c>
      <c r="N750">
        <v>0</v>
      </c>
    </row>
    <row r="751" spans="9:14" x14ac:dyDescent="0.3">
      <c r="I751">
        <v>748</v>
      </c>
      <c r="J751">
        <v>1.8822336564904141</v>
      </c>
      <c r="K751">
        <v>1</v>
      </c>
      <c r="L751">
        <v>1.092898491685818</v>
      </c>
      <c r="M751">
        <v>2.9751321481762321</v>
      </c>
      <c r="N751">
        <v>0</v>
      </c>
    </row>
    <row r="752" spans="9:14" x14ac:dyDescent="0.3">
      <c r="I752">
        <v>749</v>
      </c>
      <c r="J752">
        <v>2.5139785211479042</v>
      </c>
      <c r="K752">
        <v>0</v>
      </c>
      <c r="L752">
        <v>0</v>
      </c>
      <c r="M752">
        <v>2.5139785211479042</v>
      </c>
      <c r="N752">
        <v>0</v>
      </c>
    </row>
    <row r="753" spans="9:14" x14ac:dyDescent="0.3">
      <c r="I753">
        <v>750</v>
      </c>
      <c r="J753">
        <v>1.8278881544015531</v>
      </c>
      <c r="K753">
        <v>1</v>
      </c>
      <c r="L753">
        <v>1.4343395918087329</v>
      </c>
      <c r="M753">
        <v>3.2622277462102871</v>
      </c>
      <c r="N753">
        <v>0</v>
      </c>
    </row>
    <row r="754" spans="9:14" x14ac:dyDescent="0.3">
      <c r="I754">
        <v>751</v>
      </c>
      <c r="J754">
        <v>2.324014591278619</v>
      </c>
      <c r="K754">
        <v>1</v>
      </c>
      <c r="L754">
        <v>1.042726590419407</v>
      </c>
      <c r="M754">
        <v>3.3667411816980271</v>
      </c>
      <c r="N754">
        <v>0</v>
      </c>
    </row>
    <row r="755" spans="9:14" x14ac:dyDescent="0.3">
      <c r="I755">
        <v>752</v>
      </c>
      <c r="J755">
        <v>2.0756764276426409</v>
      </c>
      <c r="K755">
        <v>0</v>
      </c>
      <c r="L755">
        <v>0</v>
      </c>
      <c r="M755">
        <v>2.0756764276426409</v>
      </c>
      <c r="N755">
        <v>0</v>
      </c>
    </row>
    <row r="756" spans="9:14" x14ac:dyDescent="0.3">
      <c r="I756">
        <v>753</v>
      </c>
      <c r="J756">
        <v>1.9047213551835831</v>
      </c>
      <c r="K756">
        <v>1</v>
      </c>
      <c r="L756">
        <v>1.452687528191049</v>
      </c>
      <c r="M756">
        <v>3.3574088833746329</v>
      </c>
      <c r="N756">
        <v>0</v>
      </c>
    </row>
    <row r="757" spans="9:14" x14ac:dyDescent="0.3">
      <c r="I757">
        <v>754</v>
      </c>
      <c r="J757">
        <v>1.9185981750561361</v>
      </c>
      <c r="K757">
        <v>0</v>
      </c>
      <c r="L757">
        <v>0</v>
      </c>
      <c r="M757">
        <v>1.9185981750561361</v>
      </c>
      <c r="N757">
        <v>1</v>
      </c>
    </row>
    <row r="758" spans="9:14" x14ac:dyDescent="0.3">
      <c r="I758">
        <v>755</v>
      </c>
      <c r="J758">
        <v>2.297746926025491</v>
      </c>
      <c r="K758">
        <v>1</v>
      </c>
      <c r="L758">
        <v>1.9244206698986881</v>
      </c>
      <c r="M758">
        <v>4.2221675959241791</v>
      </c>
      <c r="N758">
        <v>0</v>
      </c>
    </row>
    <row r="759" spans="9:14" x14ac:dyDescent="0.3">
      <c r="I759">
        <v>756</v>
      </c>
      <c r="J759">
        <v>1.296152979950516</v>
      </c>
      <c r="K759">
        <v>0</v>
      </c>
      <c r="L759">
        <v>0</v>
      </c>
      <c r="M759">
        <v>1.296152979950516</v>
      </c>
      <c r="N759">
        <v>1</v>
      </c>
    </row>
    <row r="760" spans="9:14" x14ac:dyDescent="0.3">
      <c r="I760">
        <v>757</v>
      </c>
      <c r="J760">
        <v>1.3959710863645409</v>
      </c>
      <c r="K760">
        <v>1</v>
      </c>
      <c r="L760">
        <v>1.7463804217709999</v>
      </c>
      <c r="M760">
        <v>3.1423515081355409</v>
      </c>
      <c r="N760">
        <v>0</v>
      </c>
    </row>
    <row r="761" spans="9:14" x14ac:dyDescent="0.3">
      <c r="I761">
        <v>758</v>
      </c>
      <c r="J761">
        <v>2.0419779352813401</v>
      </c>
      <c r="K761">
        <v>0</v>
      </c>
      <c r="L761">
        <v>0</v>
      </c>
      <c r="M761">
        <v>2.0419779352813401</v>
      </c>
      <c r="N761">
        <v>0</v>
      </c>
    </row>
    <row r="762" spans="9:14" x14ac:dyDescent="0.3">
      <c r="I762">
        <v>759</v>
      </c>
      <c r="J762">
        <v>1.8272275125888151</v>
      </c>
      <c r="K762">
        <v>1</v>
      </c>
      <c r="L762">
        <v>1.884118317129414</v>
      </c>
      <c r="M762">
        <v>3.7113458297182289</v>
      </c>
      <c r="N762">
        <v>0</v>
      </c>
    </row>
    <row r="763" spans="9:14" x14ac:dyDescent="0.3">
      <c r="I763">
        <v>760</v>
      </c>
      <c r="J763">
        <v>2.0536506443577611</v>
      </c>
      <c r="K763">
        <v>1</v>
      </c>
      <c r="L763">
        <v>1.4291705350535</v>
      </c>
      <c r="M763">
        <v>3.48282117941126</v>
      </c>
      <c r="N763">
        <v>0</v>
      </c>
    </row>
    <row r="764" spans="9:14" x14ac:dyDescent="0.3">
      <c r="I764">
        <v>761</v>
      </c>
      <c r="J764">
        <v>1.7537913659171529</v>
      </c>
      <c r="K764">
        <v>1</v>
      </c>
      <c r="L764">
        <v>1.831418087593548</v>
      </c>
      <c r="M764">
        <v>3.5852094535107009</v>
      </c>
      <c r="N764">
        <v>0</v>
      </c>
    </row>
    <row r="765" spans="9:14" x14ac:dyDescent="0.3">
      <c r="I765">
        <v>762</v>
      </c>
      <c r="J765">
        <v>1.8980027287576129</v>
      </c>
      <c r="K765">
        <v>0</v>
      </c>
      <c r="L765">
        <v>0</v>
      </c>
      <c r="M765">
        <v>1.8980027287576129</v>
      </c>
      <c r="N765">
        <v>1</v>
      </c>
    </row>
    <row r="766" spans="9:14" x14ac:dyDescent="0.3">
      <c r="I766">
        <v>763</v>
      </c>
      <c r="J766">
        <v>2.2520662147303931</v>
      </c>
      <c r="K766">
        <v>1</v>
      </c>
      <c r="L766">
        <v>1.5273015202289351</v>
      </c>
      <c r="M766">
        <v>3.7793677349593269</v>
      </c>
      <c r="N766">
        <v>0</v>
      </c>
    </row>
    <row r="767" spans="9:14" x14ac:dyDescent="0.3">
      <c r="I767">
        <v>764</v>
      </c>
      <c r="J767">
        <v>1.366871655979139</v>
      </c>
      <c r="K767">
        <v>0</v>
      </c>
      <c r="L767">
        <v>0</v>
      </c>
      <c r="M767">
        <v>1.366871655979139</v>
      </c>
      <c r="N767">
        <v>1</v>
      </c>
    </row>
    <row r="768" spans="9:14" x14ac:dyDescent="0.3">
      <c r="I768">
        <v>765</v>
      </c>
      <c r="J768">
        <v>1.6017333898595001</v>
      </c>
      <c r="K768">
        <v>0</v>
      </c>
      <c r="L768">
        <v>0</v>
      </c>
      <c r="M768">
        <v>1.6017333898595001</v>
      </c>
      <c r="N768">
        <v>1</v>
      </c>
    </row>
    <row r="769" spans="9:14" x14ac:dyDescent="0.3">
      <c r="I769">
        <v>766</v>
      </c>
      <c r="J769">
        <v>1.7260139677350459</v>
      </c>
      <c r="K769">
        <v>1</v>
      </c>
      <c r="L769">
        <v>1.9331684658711159</v>
      </c>
      <c r="M769">
        <v>3.659182433606162</v>
      </c>
      <c r="N769">
        <v>0</v>
      </c>
    </row>
    <row r="770" spans="9:14" x14ac:dyDescent="0.3">
      <c r="I770">
        <v>767</v>
      </c>
      <c r="J770">
        <v>1.756272987438148</v>
      </c>
      <c r="K770">
        <v>1</v>
      </c>
      <c r="L770">
        <v>1.320004658925656</v>
      </c>
      <c r="M770">
        <v>3.076277646363804</v>
      </c>
      <c r="N770">
        <v>0</v>
      </c>
    </row>
    <row r="771" spans="9:14" x14ac:dyDescent="0.3">
      <c r="I771">
        <v>768</v>
      </c>
      <c r="J771">
        <v>1.7867379674249071</v>
      </c>
      <c r="K771">
        <v>1</v>
      </c>
      <c r="L771">
        <v>1.0752580161601519</v>
      </c>
      <c r="M771">
        <v>2.861995983585059</v>
      </c>
      <c r="N771">
        <v>0</v>
      </c>
    </row>
    <row r="772" spans="9:14" x14ac:dyDescent="0.3">
      <c r="I772">
        <v>769</v>
      </c>
      <c r="J772">
        <v>2.1381139518889332</v>
      </c>
      <c r="K772">
        <v>1</v>
      </c>
      <c r="L772">
        <v>1.170851098828102</v>
      </c>
      <c r="M772">
        <v>3.3089650507170352</v>
      </c>
      <c r="N772">
        <v>0</v>
      </c>
    </row>
    <row r="773" spans="9:14" x14ac:dyDescent="0.3">
      <c r="I773">
        <v>770</v>
      </c>
      <c r="J773">
        <v>2.325016252285613</v>
      </c>
      <c r="K773">
        <v>1</v>
      </c>
      <c r="L773">
        <v>1.8797875739358529</v>
      </c>
      <c r="M773">
        <v>4.2048038262214664</v>
      </c>
      <c r="N773">
        <v>0</v>
      </c>
    </row>
    <row r="774" spans="9:14" x14ac:dyDescent="0.3">
      <c r="I774">
        <v>771</v>
      </c>
      <c r="J774">
        <v>1.7048665923140689</v>
      </c>
      <c r="K774">
        <v>0</v>
      </c>
      <c r="L774">
        <v>0</v>
      </c>
      <c r="M774">
        <v>1.7048665923140689</v>
      </c>
      <c r="N774">
        <v>1</v>
      </c>
    </row>
    <row r="775" spans="9:14" x14ac:dyDescent="0.3">
      <c r="I775">
        <v>772</v>
      </c>
      <c r="J775">
        <v>2.3018117136722869</v>
      </c>
      <c r="K775">
        <v>1</v>
      </c>
      <c r="L775">
        <v>1.6517116972035371</v>
      </c>
      <c r="M775">
        <v>3.953523410875825</v>
      </c>
      <c r="N775">
        <v>0</v>
      </c>
    </row>
    <row r="776" spans="9:14" x14ac:dyDescent="0.3">
      <c r="I776">
        <v>773</v>
      </c>
      <c r="J776">
        <v>2.4962923616569879</v>
      </c>
      <c r="K776">
        <v>1</v>
      </c>
      <c r="L776">
        <v>1.3861898487229101</v>
      </c>
      <c r="M776">
        <v>3.8824822103798979</v>
      </c>
      <c r="N776">
        <v>0</v>
      </c>
    </row>
    <row r="777" spans="9:14" x14ac:dyDescent="0.3">
      <c r="I777">
        <v>774</v>
      </c>
      <c r="J777">
        <v>1.7550330156851559</v>
      </c>
      <c r="K777">
        <v>0</v>
      </c>
      <c r="L777">
        <v>0</v>
      </c>
      <c r="M777">
        <v>1.7550330156851559</v>
      </c>
      <c r="N777">
        <v>1</v>
      </c>
    </row>
    <row r="778" spans="9:14" x14ac:dyDescent="0.3">
      <c r="I778">
        <v>775</v>
      </c>
      <c r="J778">
        <v>1.491813190651039</v>
      </c>
      <c r="K778">
        <v>0</v>
      </c>
      <c r="L778">
        <v>0</v>
      </c>
      <c r="M778">
        <v>1.491813190651039</v>
      </c>
      <c r="N778">
        <v>1</v>
      </c>
    </row>
    <row r="779" spans="9:14" x14ac:dyDescent="0.3">
      <c r="I779">
        <v>776</v>
      </c>
      <c r="J779">
        <v>2.5224862078853012</v>
      </c>
      <c r="K779">
        <v>1</v>
      </c>
      <c r="L779">
        <v>1.186316260883425</v>
      </c>
      <c r="M779">
        <v>3.708802468768726</v>
      </c>
      <c r="N779">
        <v>0</v>
      </c>
    </row>
    <row r="780" spans="9:14" x14ac:dyDescent="0.3">
      <c r="I780">
        <v>777</v>
      </c>
      <c r="J780">
        <v>1.52754972399774</v>
      </c>
      <c r="K780">
        <v>0</v>
      </c>
      <c r="L780">
        <v>0</v>
      </c>
      <c r="M780">
        <v>1.52754972399774</v>
      </c>
      <c r="N780">
        <v>1</v>
      </c>
    </row>
    <row r="781" spans="9:14" x14ac:dyDescent="0.3">
      <c r="I781">
        <v>778</v>
      </c>
      <c r="J781">
        <v>2.2334384130574199</v>
      </c>
      <c r="K781">
        <v>1</v>
      </c>
      <c r="L781">
        <v>1.206598575883312</v>
      </c>
      <c r="M781">
        <v>3.4400369889407321</v>
      </c>
      <c r="N781">
        <v>0</v>
      </c>
    </row>
    <row r="782" spans="9:14" x14ac:dyDescent="0.3">
      <c r="I782">
        <v>779</v>
      </c>
      <c r="J782">
        <v>1.936673370200114</v>
      </c>
      <c r="K782">
        <v>0</v>
      </c>
      <c r="L782">
        <v>0</v>
      </c>
      <c r="M782">
        <v>1.936673370200114</v>
      </c>
      <c r="N782">
        <v>1</v>
      </c>
    </row>
    <row r="783" spans="9:14" x14ac:dyDescent="0.3">
      <c r="I783">
        <v>780</v>
      </c>
      <c r="J783">
        <v>2.3566486621783578</v>
      </c>
      <c r="K783">
        <v>1</v>
      </c>
      <c r="L783">
        <v>1.8663479036782289</v>
      </c>
      <c r="M783">
        <v>4.2229965658565876</v>
      </c>
      <c r="N783">
        <v>0</v>
      </c>
    </row>
    <row r="784" spans="9:14" x14ac:dyDescent="0.3">
      <c r="I784">
        <v>781</v>
      </c>
      <c r="J784">
        <v>2.094431730800971</v>
      </c>
      <c r="K784">
        <v>1</v>
      </c>
      <c r="L784">
        <v>1.931825617754007</v>
      </c>
      <c r="M784">
        <v>4.0262573485549771</v>
      </c>
      <c r="N784">
        <v>0</v>
      </c>
    </row>
    <row r="785" spans="9:14" x14ac:dyDescent="0.3">
      <c r="I785">
        <v>782</v>
      </c>
      <c r="J785">
        <v>2.0102453882753171</v>
      </c>
      <c r="K785">
        <v>0</v>
      </c>
      <c r="L785">
        <v>0</v>
      </c>
      <c r="M785">
        <v>2.0102453882753171</v>
      </c>
      <c r="N785">
        <v>0</v>
      </c>
    </row>
    <row r="786" spans="9:14" x14ac:dyDescent="0.3">
      <c r="I786">
        <v>783</v>
      </c>
      <c r="J786">
        <v>2.35384358202462</v>
      </c>
      <c r="K786">
        <v>0</v>
      </c>
      <c r="L786">
        <v>0</v>
      </c>
      <c r="M786">
        <v>2.35384358202462</v>
      </c>
      <c r="N786">
        <v>0</v>
      </c>
    </row>
    <row r="787" spans="9:14" x14ac:dyDescent="0.3">
      <c r="I787">
        <v>784</v>
      </c>
      <c r="J787">
        <v>1.8947905958015201</v>
      </c>
      <c r="K787">
        <v>0</v>
      </c>
      <c r="L787">
        <v>0</v>
      </c>
      <c r="M787">
        <v>1.8947905958015201</v>
      </c>
      <c r="N787">
        <v>1</v>
      </c>
    </row>
    <row r="788" spans="9:14" x14ac:dyDescent="0.3">
      <c r="I788">
        <v>785</v>
      </c>
      <c r="J788">
        <v>2.1481695363686479</v>
      </c>
      <c r="K788">
        <v>1</v>
      </c>
      <c r="L788">
        <v>1.361147880134534</v>
      </c>
      <c r="M788">
        <v>3.509317416503182</v>
      </c>
      <c r="N788">
        <v>0</v>
      </c>
    </row>
    <row r="789" spans="9:14" x14ac:dyDescent="0.3">
      <c r="I789">
        <v>786</v>
      </c>
      <c r="J789">
        <v>1.9071294260741181</v>
      </c>
      <c r="K789">
        <v>0</v>
      </c>
      <c r="L789">
        <v>0</v>
      </c>
      <c r="M789">
        <v>1.9071294260741181</v>
      </c>
      <c r="N789">
        <v>1</v>
      </c>
    </row>
    <row r="790" spans="9:14" x14ac:dyDescent="0.3">
      <c r="I790">
        <v>787</v>
      </c>
      <c r="J790">
        <v>2.1473585578664962</v>
      </c>
      <c r="K790">
        <v>1</v>
      </c>
      <c r="L790">
        <v>1.3791611069705529</v>
      </c>
      <c r="M790">
        <v>3.5265196648370489</v>
      </c>
      <c r="N790">
        <v>0</v>
      </c>
    </row>
    <row r="791" spans="9:14" x14ac:dyDescent="0.3">
      <c r="I791">
        <v>788</v>
      </c>
      <c r="J791">
        <v>2.115318296088855</v>
      </c>
      <c r="K791">
        <v>1</v>
      </c>
      <c r="L791">
        <v>1.3588903911529771</v>
      </c>
      <c r="M791">
        <v>3.4742086872418318</v>
      </c>
      <c r="N791">
        <v>0</v>
      </c>
    </row>
    <row r="792" spans="9:14" x14ac:dyDescent="0.3">
      <c r="I792">
        <v>789</v>
      </c>
      <c r="J792">
        <v>1.490200759561624</v>
      </c>
      <c r="K792">
        <v>0</v>
      </c>
      <c r="L792">
        <v>0</v>
      </c>
      <c r="M792">
        <v>1.490200759561624</v>
      </c>
      <c r="N792">
        <v>1</v>
      </c>
    </row>
    <row r="793" spans="9:14" x14ac:dyDescent="0.3">
      <c r="I793">
        <v>790</v>
      </c>
      <c r="J793">
        <v>2.403550601871935</v>
      </c>
      <c r="K793">
        <v>0</v>
      </c>
      <c r="L793">
        <v>0</v>
      </c>
      <c r="M793">
        <v>2.403550601871935</v>
      </c>
      <c r="N793">
        <v>0</v>
      </c>
    </row>
    <row r="794" spans="9:14" x14ac:dyDescent="0.3">
      <c r="I794">
        <v>791</v>
      </c>
      <c r="J794">
        <v>1.581305300731644</v>
      </c>
      <c r="K794">
        <v>0</v>
      </c>
      <c r="L794">
        <v>0</v>
      </c>
      <c r="M794">
        <v>1.581305300731644</v>
      </c>
      <c r="N794">
        <v>1</v>
      </c>
    </row>
    <row r="795" spans="9:14" x14ac:dyDescent="0.3">
      <c r="I795">
        <v>792</v>
      </c>
      <c r="J795">
        <v>1.7727952110825209</v>
      </c>
      <c r="K795">
        <v>1</v>
      </c>
      <c r="L795">
        <v>1.156227534548133</v>
      </c>
      <c r="M795">
        <v>2.929022745630653</v>
      </c>
      <c r="N795">
        <v>0</v>
      </c>
    </row>
    <row r="796" spans="9:14" x14ac:dyDescent="0.3">
      <c r="I796">
        <v>793</v>
      </c>
      <c r="J796">
        <v>2.4196421001936681</v>
      </c>
      <c r="K796">
        <v>1</v>
      </c>
      <c r="L796">
        <v>1.7648074126458411</v>
      </c>
      <c r="M796">
        <v>4.1844495128395094</v>
      </c>
      <c r="N796">
        <v>0</v>
      </c>
    </row>
    <row r="797" spans="9:14" x14ac:dyDescent="0.3">
      <c r="I797">
        <v>794</v>
      </c>
      <c r="J797">
        <v>1.4475618078710379</v>
      </c>
      <c r="K797">
        <v>1</v>
      </c>
      <c r="L797">
        <v>1.334125821745489</v>
      </c>
      <c r="M797">
        <v>2.7816876296165272</v>
      </c>
      <c r="N797">
        <v>0</v>
      </c>
    </row>
    <row r="798" spans="9:14" x14ac:dyDescent="0.3">
      <c r="I798">
        <v>795</v>
      </c>
      <c r="J798">
        <v>2.3313884698751148</v>
      </c>
      <c r="K798">
        <v>0</v>
      </c>
      <c r="L798">
        <v>0</v>
      </c>
      <c r="M798">
        <v>2.3313884698751148</v>
      </c>
      <c r="N798">
        <v>0</v>
      </c>
    </row>
    <row r="799" spans="9:14" x14ac:dyDescent="0.3">
      <c r="I799">
        <v>796</v>
      </c>
      <c r="J799">
        <v>2.3890633678963118</v>
      </c>
      <c r="K799">
        <v>1</v>
      </c>
      <c r="L799">
        <v>1.0207397670989979</v>
      </c>
      <c r="M799">
        <v>3.4098031349953102</v>
      </c>
      <c r="N799">
        <v>0</v>
      </c>
    </row>
    <row r="800" spans="9:14" x14ac:dyDescent="0.3">
      <c r="I800">
        <v>797</v>
      </c>
      <c r="J800">
        <v>1.7327566546015061</v>
      </c>
      <c r="K800">
        <v>1</v>
      </c>
      <c r="L800">
        <v>1.1674162320425241</v>
      </c>
      <c r="M800">
        <v>2.9001728866440302</v>
      </c>
      <c r="N800">
        <v>0</v>
      </c>
    </row>
    <row r="801" spans="9:14" x14ac:dyDescent="0.3">
      <c r="I801">
        <v>798</v>
      </c>
      <c r="J801">
        <v>2.2380104661506932</v>
      </c>
      <c r="K801">
        <v>0</v>
      </c>
      <c r="L801">
        <v>0</v>
      </c>
      <c r="M801">
        <v>2.2380104661506932</v>
      </c>
      <c r="N801">
        <v>0</v>
      </c>
    </row>
    <row r="802" spans="9:14" x14ac:dyDescent="0.3">
      <c r="I802">
        <v>799</v>
      </c>
      <c r="J802">
        <v>1.625955349760015</v>
      </c>
      <c r="K802">
        <v>1</v>
      </c>
      <c r="L802">
        <v>1.624562734385929</v>
      </c>
      <c r="M802">
        <v>3.250518084145944</v>
      </c>
      <c r="N802">
        <v>0</v>
      </c>
    </row>
    <row r="803" spans="9:14" x14ac:dyDescent="0.3">
      <c r="I803">
        <v>800</v>
      </c>
      <c r="J803">
        <v>1.616177033899018</v>
      </c>
      <c r="K803">
        <v>0</v>
      </c>
      <c r="L803">
        <v>0</v>
      </c>
      <c r="M803">
        <v>1.616177033899018</v>
      </c>
      <c r="N803">
        <v>1</v>
      </c>
    </row>
    <row r="804" spans="9:14" x14ac:dyDescent="0.3">
      <c r="I804">
        <v>801</v>
      </c>
      <c r="J804">
        <v>1.8270851669171051</v>
      </c>
      <c r="K804">
        <v>1</v>
      </c>
      <c r="L804">
        <v>1.502019715555297</v>
      </c>
      <c r="M804">
        <v>3.3291048824724019</v>
      </c>
      <c r="N804">
        <v>0</v>
      </c>
    </row>
    <row r="805" spans="9:14" x14ac:dyDescent="0.3">
      <c r="I805">
        <v>802</v>
      </c>
      <c r="J805">
        <v>2.4362214950441379</v>
      </c>
      <c r="K805">
        <v>1</v>
      </c>
      <c r="L805">
        <v>1.3249713076740159</v>
      </c>
      <c r="M805">
        <v>3.761192802718154</v>
      </c>
      <c r="N805">
        <v>0</v>
      </c>
    </row>
    <row r="806" spans="9:14" x14ac:dyDescent="0.3">
      <c r="I806">
        <v>803</v>
      </c>
      <c r="J806">
        <v>2.4166775113707319</v>
      </c>
      <c r="K806">
        <v>1</v>
      </c>
      <c r="L806">
        <v>1.277220935910637</v>
      </c>
      <c r="M806">
        <v>3.6938984472813692</v>
      </c>
      <c r="N806">
        <v>0</v>
      </c>
    </row>
    <row r="807" spans="9:14" x14ac:dyDescent="0.3">
      <c r="I807">
        <v>804</v>
      </c>
      <c r="J807">
        <v>2.1302888697458862</v>
      </c>
      <c r="K807">
        <v>0</v>
      </c>
      <c r="L807">
        <v>0</v>
      </c>
      <c r="M807">
        <v>2.1302888697458862</v>
      </c>
      <c r="N807">
        <v>0</v>
      </c>
    </row>
    <row r="808" spans="9:14" x14ac:dyDescent="0.3">
      <c r="I808">
        <v>805</v>
      </c>
      <c r="J808">
        <v>2.1564665312625881</v>
      </c>
      <c r="K808">
        <v>1</v>
      </c>
      <c r="L808">
        <v>1.5482298029765971</v>
      </c>
      <c r="M808">
        <v>3.704696334239185</v>
      </c>
      <c r="N808">
        <v>0</v>
      </c>
    </row>
    <row r="809" spans="9:14" x14ac:dyDescent="0.3">
      <c r="I809">
        <v>806</v>
      </c>
      <c r="J809">
        <v>1.868695488221551</v>
      </c>
      <c r="K809">
        <v>1</v>
      </c>
      <c r="L809">
        <v>1.28437138290979</v>
      </c>
      <c r="M809">
        <v>3.1530668711313421</v>
      </c>
      <c r="N809">
        <v>0</v>
      </c>
    </row>
    <row r="810" spans="9:14" x14ac:dyDescent="0.3">
      <c r="I810">
        <v>807</v>
      </c>
      <c r="J810">
        <v>2.664241637618844</v>
      </c>
      <c r="K810">
        <v>0</v>
      </c>
      <c r="L810">
        <v>0</v>
      </c>
      <c r="M810">
        <v>2.664241637618844</v>
      </c>
      <c r="N810">
        <v>0</v>
      </c>
    </row>
    <row r="811" spans="9:14" x14ac:dyDescent="0.3">
      <c r="I811">
        <v>808</v>
      </c>
      <c r="J811">
        <v>2.424041045063511</v>
      </c>
      <c r="K811">
        <v>0</v>
      </c>
      <c r="L811">
        <v>0</v>
      </c>
      <c r="M811">
        <v>2.424041045063511</v>
      </c>
      <c r="N811">
        <v>0</v>
      </c>
    </row>
    <row r="812" spans="9:14" x14ac:dyDescent="0.3">
      <c r="I812">
        <v>809</v>
      </c>
      <c r="J812">
        <v>2.0524856715445621</v>
      </c>
      <c r="K812">
        <v>0</v>
      </c>
      <c r="L812">
        <v>0</v>
      </c>
      <c r="M812">
        <v>2.0524856715445621</v>
      </c>
      <c r="N812">
        <v>0</v>
      </c>
    </row>
    <row r="813" spans="9:14" x14ac:dyDescent="0.3">
      <c r="I813">
        <v>810</v>
      </c>
      <c r="J813">
        <v>1.7548683245197569</v>
      </c>
      <c r="K813">
        <v>1</v>
      </c>
      <c r="L813">
        <v>1.0995294277090359</v>
      </c>
      <c r="M813">
        <v>2.8543977522287931</v>
      </c>
      <c r="N813">
        <v>0</v>
      </c>
    </row>
    <row r="814" spans="9:14" x14ac:dyDescent="0.3">
      <c r="I814">
        <v>811</v>
      </c>
      <c r="J814">
        <v>1.4661948588743841</v>
      </c>
      <c r="K814">
        <v>0</v>
      </c>
      <c r="L814">
        <v>0</v>
      </c>
      <c r="M814">
        <v>1.4661948588743841</v>
      </c>
      <c r="N814">
        <v>1</v>
      </c>
    </row>
    <row r="815" spans="9:14" x14ac:dyDescent="0.3">
      <c r="I815">
        <v>812</v>
      </c>
      <c r="J815">
        <v>1.1467316311344229</v>
      </c>
      <c r="K815">
        <v>0</v>
      </c>
      <c r="L815">
        <v>0</v>
      </c>
      <c r="M815">
        <v>1.1467316311344229</v>
      </c>
      <c r="N815">
        <v>1</v>
      </c>
    </row>
    <row r="816" spans="9:14" x14ac:dyDescent="0.3">
      <c r="I816">
        <v>813</v>
      </c>
      <c r="J816">
        <v>2.298778014695892</v>
      </c>
      <c r="K816">
        <v>1</v>
      </c>
      <c r="L816">
        <v>1.8514941993825591</v>
      </c>
      <c r="M816">
        <v>4.150272214078452</v>
      </c>
      <c r="N816">
        <v>0</v>
      </c>
    </row>
    <row r="817" spans="9:14" x14ac:dyDescent="0.3">
      <c r="I817">
        <v>814</v>
      </c>
      <c r="J817">
        <v>2.8493400693041089</v>
      </c>
      <c r="K817">
        <v>0</v>
      </c>
      <c r="L817">
        <v>0</v>
      </c>
      <c r="M817">
        <v>2.8493400693041089</v>
      </c>
      <c r="N817">
        <v>0</v>
      </c>
    </row>
    <row r="818" spans="9:14" x14ac:dyDescent="0.3">
      <c r="I818">
        <v>815</v>
      </c>
      <c r="J818">
        <v>2.0435425788024459</v>
      </c>
      <c r="K818">
        <v>1</v>
      </c>
      <c r="L818">
        <v>1.932706662218771</v>
      </c>
      <c r="M818">
        <v>3.9762492410212169</v>
      </c>
      <c r="N818">
        <v>0</v>
      </c>
    </row>
    <row r="819" spans="9:14" x14ac:dyDescent="0.3">
      <c r="I819">
        <v>816</v>
      </c>
      <c r="J819">
        <v>1.865563680062478</v>
      </c>
      <c r="K819">
        <v>1</v>
      </c>
      <c r="L819">
        <v>1.6583976949489749</v>
      </c>
      <c r="M819">
        <v>3.523961375011452</v>
      </c>
      <c r="N819">
        <v>0</v>
      </c>
    </row>
    <row r="820" spans="9:14" x14ac:dyDescent="0.3">
      <c r="I820">
        <v>817</v>
      </c>
      <c r="J820">
        <v>2.0181142903105358</v>
      </c>
      <c r="K820">
        <v>0</v>
      </c>
      <c r="L820">
        <v>0</v>
      </c>
      <c r="M820">
        <v>2.0181142903105358</v>
      </c>
      <c r="N820">
        <v>0</v>
      </c>
    </row>
    <row r="821" spans="9:14" x14ac:dyDescent="0.3">
      <c r="I821">
        <v>818</v>
      </c>
      <c r="J821">
        <v>2.3258041898457549</v>
      </c>
      <c r="K821">
        <v>0</v>
      </c>
      <c r="L821">
        <v>0</v>
      </c>
      <c r="M821">
        <v>2.3258041898457549</v>
      </c>
      <c r="N821">
        <v>0</v>
      </c>
    </row>
    <row r="822" spans="9:14" x14ac:dyDescent="0.3">
      <c r="I822">
        <v>819</v>
      </c>
      <c r="J822">
        <v>2.186633480472123</v>
      </c>
      <c r="K822">
        <v>1</v>
      </c>
      <c r="L822">
        <v>1.8930326309342891</v>
      </c>
      <c r="M822">
        <v>4.0796661114064117</v>
      </c>
      <c r="N822">
        <v>0</v>
      </c>
    </row>
    <row r="823" spans="9:14" x14ac:dyDescent="0.3">
      <c r="I823">
        <v>820</v>
      </c>
      <c r="J823">
        <v>1.7491992926394391</v>
      </c>
      <c r="K823">
        <v>0</v>
      </c>
      <c r="L823">
        <v>0</v>
      </c>
      <c r="M823">
        <v>1.7491992926394391</v>
      </c>
      <c r="N823">
        <v>1</v>
      </c>
    </row>
    <row r="824" spans="9:14" x14ac:dyDescent="0.3">
      <c r="I824">
        <v>821</v>
      </c>
      <c r="J824">
        <v>1.7524364708010141</v>
      </c>
      <c r="K824">
        <v>0</v>
      </c>
      <c r="L824">
        <v>0</v>
      </c>
      <c r="M824">
        <v>1.7524364708010141</v>
      </c>
      <c r="N824">
        <v>1</v>
      </c>
    </row>
    <row r="825" spans="9:14" x14ac:dyDescent="0.3">
      <c r="I825">
        <v>822</v>
      </c>
      <c r="J825">
        <v>1.9387041785927861</v>
      </c>
      <c r="K825">
        <v>1</v>
      </c>
      <c r="L825">
        <v>1.352049448543303</v>
      </c>
      <c r="M825">
        <v>3.2907536271360889</v>
      </c>
      <c r="N825">
        <v>0</v>
      </c>
    </row>
    <row r="826" spans="9:14" x14ac:dyDescent="0.3">
      <c r="I826">
        <v>823</v>
      </c>
      <c r="J826">
        <v>2.7613028927763041</v>
      </c>
      <c r="K826">
        <v>1</v>
      </c>
      <c r="L826">
        <v>1.3163964168467139</v>
      </c>
      <c r="M826">
        <v>4.0776993096230179</v>
      </c>
      <c r="N826">
        <v>0</v>
      </c>
    </row>
    <row r="827" spans="9:14" x14ac:dyDescent="0.3">
      <c r="I827">
        <v>824</v>
      </c>
      <c r="J827">
        <v>1.9641985374047279</v>
      </c>
      <c r="K827">
        <v>1</v>
      </c>
      <c r="L827">
        <v>1.5358032510800279</v>
      </c>
      <c r="M827">
        <v>3.5000017884847572</v>
      </c>
      <c r="N827">
        <v>0</v>
      </c>
    </row>
    <row r="828" spans="9:14" x14ac:dyDescent="0.3">
      <c r="I828">
        <v>825</v>
      </c>
      <c r="J828">
        <v>1.5471473114795671</v>
      </c>
      <c r="K828">
        <v>1</v>
      </c>
      <c r="L828">
        <v>1.851811342832254</v>
      </c>
      <c r="M828">
        <v>3.3989586543118211</v>
      </c>
      <c r="N828">
        <v>0</v>
      </c>
    </row>
    <row r="829" spans="9:14" x14ac:dyDescent="0.3">
      <c r="I829">
        <v>826</v>
      </c>
      <c r="J829">
        <v>2.731016450161686</v>
      </c>
      <c r="K829">
        <v>1</v>
      </c>
      <c r="L829">
        <v>1.9018730293622139</v>
      </c>
      <c r="M829">
        <v>4.6328894795239002</v>
      </c>
      <c r="N829">
        <v>0</v>
      </c>
    </row>
    <row r="830" spans="9:14" x14ac:dyDescent="0.3">
      <c r="I830">
        <v>827</v>
      </c>
      <c r="J830">
        <v>2.2135337743855108</v>
      </c>
      <c r="K830">
        <v>0</v>
      </c>
      <c r="L830">
        <v>0</v>
      </c>
      <c r="M830">
        <v>2.2135337743855108</v>
      </c>
      <c r="N830">
        <v>0</v>
      </c>
    </row>
    <row r="831" spans="9:14" x14ac:dyDescent="0.3">
      <c r="I831">
        <v>828</v>
      </c>
      <c r="J831">
        <v>1.651728904078511</v>
      </c>
      <c r="K831">
        <v>1</v>
      </c>
      <c r="L831">
        <v>1.8856233170381469</v>
      </c>
      <c r="M831">
        <v>3.5373522211166581</v>
      </c>
      <c r="N831">
        <v>0</v>
      </c>
    </row>
    <row r="832" spans="9:14" x14ac:dyDescent="0.3">
      <c r="I832">
        <v>829</v>
      </c>
      <c r="J832">
        <v>1.7145630047398019</v>
      </c>
      <c r="K832">
        <v>0</v>
      </c>
      <c r="L832">
        <v>0</v>
      </c>
      <c r="M832">
        <v>1.7145630047398019</v>
      </c>
      <c r="N832">
        <v>1</v>
      </c>
    </row>
    <row r="833" spans="9:14" x14ac:dyDescent="0.3">
      <c r="I833">
        <v>830</v>
      </c>
      <c r="J833">
        <v>1.527863384724518</v>
      </c>
      <c r="K833">
        <v>1</v>
      </c>
      <c r="L833">
        <v>1.513453374126376</v>
      </c>
      <c r="M833">
        <v>3.0413167588508938</v>
      </c>
      <c r="N833">
        <v>0</v>
      </c>
    </row>
    <row r="834" spans="9:14" x14ac:dyDescent="0.3">
      <c r="I834">
        <v>831</v>
      </c>
      <c r="J834">
        <v>2.3370664267329069</v>
      </c>
      <c r="K834">
        <v>1</v>
      </c>
      <c r="L834">
        <v>1.2420326027717741</v>
      </c>
      <c r="M834">
        <v>3.5790990295046812</v>
      </c>
      <c r="N834">
        <v>0</v>
      </c>
    </row>
    <row r="835" spans="9:14" x14ac:dyDescent="0.3">
      <c r="I835">
        <v>832</v>
      </c>
      <c r="J835">
        <v>2.270823628302407</v>
      </c>
      <c r="K835">
        <v>0</v>
      </c>
      <c r="L835">
        <v>0</v>
      </c>
      <c r="M835">
        <v>2.270823628302407</v>
      </c>
      <c r="N835">
        <v>0</v>
      </c>
    </row>
    <row r="836" spans="9:14" x14ac:dyDescent="0.3">
      <c r="I836">
        <v>833</v>
      </c>
      <c r="J836">
        <v>2.6755874288915642</v>
      </c>
      <c r="K836">
        <v>0</v>
      </c>
      <c r="L836">
        <v>0</v>
      </c>
      <c r="M836">
        <v>2.6755874288915642</v>
      </c>
      <c r="N836">
        <v>0</v>
      </c>
    </row>
    <row r="837" spans="9:14" x14ac:dyDescent="0.3">
      <c r="I837">
        <v>834</v>
      </c>
      <c r="J837">
        <v>2.3660076141479922</v>
      </c>
      <c r="K837">
        <v>1</v>
      </c>
      <c r="L837">
        <v>1.7642996156821531</v>
      </c>
      <c r="M837">
        <v>4.1303072298301444</v>
      </c>
      <c r="N837">
        <v>0</v>
      </c>
    </row>
    <row r="838" spans="9:14" x14ac:dyDescent="0.3">
      <c r="I838">
        <v>835</v>
      </c>
      <c r="J838">
        <v>2.567664788930438</v>
      </c>
      <c r="K838">
        <v>1</v>
      </c>
      <c r="L838">
        <v>1.597307796616904</v>
      </c>
      <c r="M838">
        <v>4.1649725855473418</v>
      </c>
      <c r="N838">
        <v>0</v>
      </c>
    </row>
    <row r="839" spans="9:14" x14ac:dyDescent="0.3">
      <c r="I839">
        <v>836</v>
      </c>
      <c r="J839">
        <v>1.6707913417900371</v>
      </c>
      <c r="K839">
        <v>1</v>
      </c>
      <c r="L839">
        <v>1.950098700933961</v>
      </c>
      <c r="M839">
        <v>3.6208900427239969</v>
      </c>
      <c r="N839">
        <v>0</v>
      </c>
    </row>
    <row r="840" spans="9:14" x14ac:dyDescent="0.3">
      <c r="I840">
        <v>837</v>
      </c>
      <c r="J840">
        <v>2.4149416857000499</v>
      </c>
      <c r="K840">
        <v>0</v>
      </c>
      <c r="L840">
        <v>0</v>
      </c>
      <c r="M840">
        <v>2.4149416857000499</v>
      </c>
      <c r="N840">
        <v>0</v>
      </c>
    </row>
    <row r="841" spans="9:14" x14ac:dyDescent="0.3">
      <c r="I841">
        <v>838</v>
      </c>
      <c r="J841">
        <v>2.587683652337899</v>
      </c>
      <c r="K841">
        <v>1</v>
      </c>
      <c r="L841">
        <v>1.2849627207687631</v>
      </c>
      <c r="M841">
        <v>3.8726463731066629</v>
      </c>
      <c r="N841">
        <v>0</v>
      </c>
    </row>
    <row r="842" spans="9:14" x14ac:dyDescent="0.3">
      <c r="I842">
        <v>839</v>
      </c>
      <c r="J842">
        <v>2.4428035339429339</v>
      </c>
      <c r="K842">
        <v>1</v>
      </c>
      <c r="L842">
        <v>1.395727436385279</v>
      </c>
      <c r="M842">
        <v>3.8385309703282129</v>
      </c>
      <c r="N842">
        <v>0</v>
      </c>
    </row>
    <row r="843" spans="9:14" x14ac:dyDescent="0.3">
      <c r="I843">
        <v>840</v>
      </c>
      <c r="J843">
        <v>1.8320238674048419</v>
      </c>
      <c r="K843">
        <v>0</v>
      </c>
      <c r="L843">
        <v>0</v>
      </c>
      <c r="M843">
        <v>1.8320238674048419</v>
      </c>
      <c r="N843">
        <v>1</v>
      </c>
    </row>
    <row r="844" spans="9:14" x14ac:dyDescent="0.3">
      <c r="I844">
        <v>841</v>
      </c>
      <c r="J844">
        <v>1.544857878391203</v>
      </c>
      <c r="K844">
        <v>1</v>
      </c>
      <c r="L844">
        <v>1.614050884602944</v>
      </c>
      <c r="M844">
        <v>3.1589087629941468</v>
      </c>
      <c r="N844">
        <v>0</v>
      </c>
    </row>
    <row r="845" spans="9:14" x14ac:dyDescent="0.3">
      <c r="I845">
        <v>842</v>
      </c>
      <c r="J845">
        <v>1.9578357608402741</v>
      </c>
      <c r="K845">
        <v>0</v>
      </c>
      <c r="L845">
        <v>0</v>
      </c>
      <c r="M845">
        <v>1.9578357608402741</v>
      </c>
      <c r="N845">
        <v>1</v>
      </c>
    </row>
    <row r="846" spans="9:14" x14ac:dyDescent="0.3">
      <c r="I846">
        <v>843</v>
      </c>
      <c r="J846">
        <v>2.4626771315047651</v>
      </c>
      <c r="K846">
        <v>0</v>
      </c>
      <c r="L846">
        <v>0</v>
      </c>
      <c r="M846">
        <v>2.4626771315047651</v>
      </c>
      <c r="N846">
        <v>0</v>
      </c>
    </row>
    <row r="847" spans="9:14" x14ac:dyDescent="0.3">
      <c r="I847">
        <v>844</v>
      </c>
      <c r="J847">
        <v>1.21818164071461</v>
      </c>
      <c r="K847">
        <v>1</v>
      </c>
      <c r="L847">
        <v>1.7409345597245329</v>
      </c>
      <c r="M847">
        <v>2.959116200439142</v>
      </c>
      <c r="N847">
        <v>0</v>
      </c>
    </row>
    <row r="848" spans="9:14" x14ac:dyDescent="0.3">
      <c r="I848">
        <v>845</v>
      </c>
      <c r="J848">
        <v>2.0103739100665492</v>
      </c>
      <c r="K848">
        <v>0</v>
      </c>
      <c r="L848">
        <v>0</v>
      </c>
      <c r="M848">
        <v>2.0103739100665492</v>
      </c>
      <c r="N848">
        <v>0</v>
      </c>
    </row>
    <row r="849" spans="9:14" x14ac:dyDescent="0.3">
      <c r="I849">
        <v>846</v>
      </c>
      <c r="J849">
        <v>1.864855156149249</v>
      </c>
      <c r="K849">
        <v>1</v>
      </c>
      <c r="L849">
        <v>1.1316915676209069</v>
      </c>
      <c r="M849">
        <v>2.9965467237701562</v>
      </c>
      <c r="N849">
        <v>0</v>
      </c>
    </row>
    <row r="850" spans="9:14" x14ac:dyDescent="0.3">
      <c r="I850">
        <v>847</v>
      </c>
      <c r="J850">
        <v>1.411344319596292</v>
      </c>
      <c r="K850">
        <v>0</v>
      </c>
      <c r="L850">
        <v>0</v>
      </c>
      <c r="M850">
        <v>1.411344319596292</v>
      </c>
      <c r="N850">
        <v>1</v>
      </c>
    </row>
    <row r="851" spans="9:14" x14ac:dyDescent="0.3">
      <c r="I851">
        <v>848</v>
      </c>
      <c r="J851">
        <v>1.3593722700095721</v>
      </c>
      <c r="K851">
        <v>0</v>
      </c>
      <c r="L851">
        <v>0</v>
      </c>
      <c r="M851">
        <v>1.3593722700095721</v>
      </c>
      <c r="N851">
        <v>1</v>
      </c>
    </row>
    <row r="852" spans="9:14" x14ac:dyDescent="0.3">
      <c r="I852">
        <v>849</v>
      </c>
      <c r="J852">
        <v>1.4767475851431591</v>
      </c>
      <c r="K852">
        <v>1</v>
      </c>
      <c r="L852">
        <v>1.8061656107511661</v>
      </c>
      <c r="M852">
        <v>3.282913195894325</v>
      </c>
      <c r="N852">
        <v>0</v>
      </c>
    </row>
    <row r="853" spans="9:14" x14ac:dyDescent="0.3">
      <c r="I853">
        <v>850</v>
      </c>
      <c r="J853">
        <v>2.3378264581994639</v>
      </c>
      <c r="K853">
        <v>0</v>
      </c>
      <c r="L853">
        <v>0</v>
      </c>
      <c r="M853">
        <v>2.3378264581994639</v>
      </c>
      <c r="N853">
        <v>0</v>
      </c>
    </row>
    <row r="854" spans="9:14" x14ac:dyDescent="0.3">
      <c r="I854">
        <v>851</v>
      </c>
      <c r="J854">
        <v>1.487583338790142</v>
      </c>
      <c r="K854">
        <v>1</v>
      </c>
      <c r="L854">
        <v>1.931798994346593</v>
      </c>
      <c r="M854">
        <v>3.4193823331367361</v>
      </c>
      <c r="N854">
        <v>0</v>
      </c>
    </row>
    <row r="855" spans="9:14" x14ac:dyDescent="0.3">
      <c r="I855">
        <v>852</v>
      </c>
      <c r="J855">
        <v>2.4653595202752872</v>
      </c>
      <c r="K855">
        <v>1</v>
      </c>
      <c r="L855">
        <v>1.5279860404137151</v>
      </c>
      <c r="M855">
        <v>3.993345560689002</v>
      </c>
      <c r="N855">
        <v>0</v>
      </c>
    </row>
    <row r="856" spans="9:14" x14ac:dyDescent="0.3">
      <c r="I856">
        <v>853</v>
      </c>
      <c r="J856">
        <v>1.9906612230562879</v>
      </c>
      <c r="K856">
        <v>1</v>
      </c>
      <c r="L856">
        <v>1.1538982937352269</v>
      </c>
      <c r="M856">
        <v>3.144559516791515</v>
      </c>
      <c r="N856">
        <v>0</v>
      </c>
    </row>
    <row r="857" spans="9:14" x14ac:dyDescent="0.3">
      <c r="I857">
        <v>854</v>
      </c>
      <c r="J857">
        <v>1.934970203061257</v>
      </c>
      <c r="K857">
        <v>1</v>
      </c>
      <c r="L857">
        <v>1.4532067495207359</v>
      </c>
      <c r="M857">
        <v>3.3881769525819929</v>
      </c>
      <c r="N857">
        <v>0</v>
      </c>
    </row>
    <row r="858" spans="9:14" x14ac:dyDescent="0.3">
      <c r="I858">
        <v>855</v>
      </c>
      <c r="J858">
        <v>2.3014169657107031</v>
      </c>
      <c r="K858">
        <v>1</v>
      </c>
      <c r="L858">
        <v>1.5700185346682189</v>
      </c>
      <c r="M858">
        <v>3.8714355003789209</v>
      </c>
      <c r="N858">
        <v>0</v>
      </c>
    </row>
    <row r="859" spans="9:14" x14ac:dyDescent="0.3">
      <c r="I859">
        <v>856</v>
      </c>
      <c r="J859">
        <v>2.3987755377993549</v>
      </c>
      <c r="K859">
        <v>1</v>
      </c>
      <c r="L859">
        <v>1.3117533675631281</v>
      </c>
      <c r="M859">
        <v>3.7105289053624828</v>
      </c>
      <c r="N859">
        <v>0</v>
      </c>
    </row>
    <row r="860" spans="9:14" x14ac:dyDescent="0.3">
      <c r="I860">
        <v>857</v>
      </c>
      <c r="J860">
        <v>2.180015322856629</v>
      </c>
      <c r="K860">
        <v>0</v>
      </c>
      <c r="L860">
        <v>0</v>
      </c>
      <c r="M860">
        <v>2.180015322856629</v>
      </c>
      <c r="N860">
        <v>0</v>
      </c>
    </row>
    <row r="861" spans="9:14" x14ac:dyDescent="0.3">
      <c r="I861">
        <v>858</v>
      </c>
      <c r="J861">
        <v>1.9304917720914609</v>
      </c>
      <c r="K861">
        <v>1</v>
      </c>
      <c r="L861">
        <v>1.6782430645229121</v>
      </c>
      <c r="M861">
        <v>3.608734836614373</v>
      </c>
      <c r="N861">
        <v>0</v>
      </c>
    </row>
    <row r="862" spans="9:14" x14ac:dyDescent="0.3">
      <c r="I862">
        <v>859</v>
      </c>
      <c r="J862">
        <v>1.8652144102846471</v>
      </c>
      <c r="K862">
        <v>1</v>
      </c>
      <c r="L862">
        <v>1.925950835941842</v>
      </c>
      <c r="M862">
        <v>3.7911652462264902</v>
      </c>
      <c r="N862">
        <v>0</v>
      </c>
    </row>
    <row r="863" spans="9:14" x14ac:dyDescent="0.3">
      <c r="I863">
        <v>860</v>
      </c>
      <c r="J863">
        <v>2.2646930336380851</v>
      </c>
      <c r="K863">
        <v>0</v>
      </c>
      <c r="L863">
        <v>0</v>
      </c>
      <c r="M863">
        <v>2.2646930336380851</v>
      </c>
      <c r="N863">
        <v>0</v>
      </c>
    </row>
    <row r="864" spans="9:14" x14ac:dyDescent="0.3">
      <c r="I864">
        <v>861</v>
      </c>
      <c r="J864">
        <v>1.5502892518499021</v>
      </c>
      <c r="K864">
        <v>1</v>
      </c>
      <c r="L864">
        <v>1.599262878889482</v>
      </c>
      <c r="M864">
        <v>3.1495521307393828</v>
      </c>
      <c r="N864">
        <v>0</v>
      </c>
    </row>
    <row r="865" spans="9:14" x14ac:dyDescent="0.3">
      <c r="I865">
        <v>862</v>
      </c>
      <c r="J865">
        <v>1.574498336408241</v>
      </c>
      <c r="K865">
        <v>1</v>
      </c>
      <c r="L865">
        <v>1.8756784334623979</v>
      </c>
      <c r="M865">
        <v>3.4501767698706391</v>
      </c>
      <c r="N865">
        <v>0</v>
      </c>
    </row>
    <row r="866" spans="9:14" x14ac:dyDescent="0.3">
      <c r="I866">
        <v>863</v>
      </c>
      <c r="J866">
        <v>1.83426437714947</v>
      </c>
      <c r="K866">
        <v>0</v>
      </c>
      <c r="L866">
        <v>0</v>
      </c>
      <c r="M866">
        <v>1.83426437714947</v>
      </c>
      <c r="N866">
        <v>1</v>
      </c>
    </row>
    <row r="867" spans="9:14" x14ac:dyDescent="0.3">
      <c r="I867">
        <v>864</v>
      </c>
      <c r="J867">
        <v>1.7658461915810191</v>
      </c>
      <c r="K867">
        <v>1</v>
      </c>
      <c r="L867">
        <v>1.039631070552433</v>
      </c>
      <c r="M867">
        <v>2.8054772621334521</v>
      </c>
      <c r="N867">
        <v>0</v>
      </c>
    </row>
    <row r="868" spans="9:14" x14ac:dyDescent="0.3">
      <c r="I868">
        <v>865</v>
      </c>
      <c r="J868">
        <v>1.6019980234667719</v>
      </c>
      <c r="K868">
        <v>0</v>
      </c>
      <c r="L868">
        <v>0</v>
      </c>
      <c r="M868">
        <v>1.6019980234667719</v>
      </c>
      <c r="N868">
        <v>1</v>
      </c>
    </row>
    <row r="869" spans="9:14" x14ac:dyDescent="0.3">
      <c r="I869">
        <v>866</v>
      </c>
      <c r="J869">
        <v>1.812101462890352</v>
      </c>
      <c r="K869">
        <v>1</v>
      </c>
      <c r="L869">
        <v>1.7181650534070709</v>
      </c>
      <c r="M869">
        <v>3.5302665162974218</v>
      </c>
      <c r="N869">
        <v>0</v>
      </c>
    </row>
    <row r="870" spans="9:14" x14ac:dyDescent="0.3">
      <c r="I870">
        <v>867</v>
      </c>
      <c r="J870">
        <v>1.7739299247844731</v>
      </c>
      <c r="K870">
        <v>1</v>
      </c>
      <c r="L870">
        <v>1.0723108115624509</v>
      </c>
      <c r="M870">
        <v>2.8462407363469242</v>
      </c>
      <c r="N870">
        <v>0</v>
      </c>
    </row>
    <row r="871" spans="9:14" x14ac:dyDescent="0.3">
      <c r="I871">
        <v>868</v>
      </c>
      <c r="J871">
        <v>1.7636455396591719</v>
      </c>
      <c r="K871">
        <v>0</v>
      </c>
      <c r="L871">
        <v>0</v>
      </c>
      <c r="M871">
        <v>1.7636455396591719</v>
      </c>
      <c r="N871">
        <v>1</v>
      </c>
    </row>
    <row r="872" spans="9:14" x14ac:dyDescent="0.3">
      <c r="I872">
        <v>869</v>
      </c>
      <c r="J872">
        <v>1.913478898208524</v>
      </c>
      <c r="K872">
        <v>1</v>
      </c>
      <c r="L872">
        <v>1.864536526431581</v>
      </c>
      <c r="M872">
        <v>3.7780154246401052</v>
      </c>
      <c r="N872">
        <v>0</v>
      </c>
    </row>
    <row r="873" spans="9:14" x14ac:dyDescent="0.3">
      <c r="I873">
        <v>870</v>
      </c>
      <c r="J873">
        <v>2.272584897969844</v>
      </c>
      <c r="K873">
        <v>1</v>
      </c>
      <c r="L873">
        <v>1.9895246389898651</v>
      </c>
      <c r="M873">
        <v>4.2621095369597093</v>
      </c>
      <c r="N873">
        <v>0</v>
      </c>
    </row>
    <row r="874" spans="9:14" x14ac:dyDescent="0.3">
      <c r="I874">
        <v>871</v>
      </c>
      <c r="J874">
        <v>2.7348927222181478</v>
      </c>
      <c r="K874">
        <v>0</v>
      </c>
      <c r="L874">
        <v>0</v>
      </c>
      <c r="M874">
        <v>2.7348927222181478</v>
      </c>
      <c r="N874">
        <v>0</v>
      </c>
    </row>
    <row r="875" spans="9:14" x14ac:dyDescent="0.3">
      <c r="I875">
        <v>872</v>
      </c>
      <c r="J875">
        <v>2.434814990622435</v>
      </c>
      <c r="K875">
        <v>0</v>
      </c>
      <c r="L875">
        <v>0</v>
      </c>
      <c r="M875">
        <v>2.434814990622435</v>
      </c>
      <c r="N875">
        <v>0</v>
      </c>
    </row>
    <row r="876" spans="9:14" x14ac:dyDescent="0.3">
      <c r="I876">
        <v>873</v>
      </c>
      <c r="J876">
        <v>2.462346867461993</v>
      </c>
      <c r="K876">
        <v>0</v>
      </c>
      <c r="L876">
        <v>0</v>
      </c>
      <c r="M876">
        <v>2.462346867461993</v>
      </c>
      <c r="N876">
        <v>0</v>
      </c>
    </row>
    <row r="877" spans="9:14" x14ac:dyDescent="0.3">
      <c r="I877">
        <v>874</v>
      </c>
      <c r="J877">
        <v>2.430683415469292</v>
      </c>
      <c r="K877">
        <v>0</v>
      </c>
      <c r="L877">
        <v>0</v>
      </c>
      <c r="M877">
        <v>2.430683415469292</v>
      </c>
      <c r="N877">
        <v>0</v>
      </c>
    </row>
    <row r="878" spans="9:14" x14ac:dyDescent="0.3">
      <c r="I878">
        <v>875</v>
      </c>
      <c r="J878">
        <v>1.9110944368766709</v>
      </c>
      <c r="K878">
        <v>1</v>
      </c>
      <c r="L878">
        <v>1.8045540672096461</v>
      </c>
      <c r="M878">
        <v>3.715648504086317</v>
      </c>
      <c r="N878">
        <v>0</v>
      </c>
    </row>
    <row r="879" spans="9:14" x14ac:dyDescent="0.3">
      <c r="I879">
        <v>876</v>
      </c>
      <c r="J879">
        <v>1.9687724155009501</v>
      </c>
      <c r="K879">
        <v>0</v>
      </c>
      <c r="L879">
        <v>0</v>
      </c>
      <c r="M879">
        <v>1.9687724155009501</v>
      </c>
      <c r="N879">
        <v>1</v>
      </c>
    </row>
    <row r="880" spans="9:14" x14ac:dyDescent="0.3">
      <c r="I880">
        <v>877</v>
      </c>
      <c r="J880">
        <v>1.8731979831519261</v>
      </c>
      <c r="K880">
        <v>0</v>
      </c>
      <c r="L880">
        <v>0</v>
      </c>
      <c r="M880">
        <v>1.8731979831519261</v>
      </c>
      <c r="N880">
        <v>1</v>
      </c>
    </row>
    <row r="881" spans="9:14" x14ac:dyDescent="0.3">
      <c r="I881">
        <v>878</v>
      </c>
      <c r="J881">
        <v>2.681834333799292</v>
      </c>
      <c r="K881">
        <v>1</v>
      </c>
      <c r="L881">
        <v>1.637094755873139</v>
      </c>
      <c r="M881">
        <v>4.3189290896724311</v>
      </c>
      <c r="N881">
        <v>0</v>
      </c>
    </row>
    <row r="882" spans="9:14" x14ac:dyDescent="0.3">
      <c r="I882">
        <v>879</v>
      </c>
      <c r="J882">
        <v>2.162803532182358</v>
      </c>
      <c r="K882">
        <v>1</v>
      </c>
      <c r="L882">
        <v>1.487097964699446</v>
      </c>
      <c r="M882">
        <v>3.649901496881804</v>
      </c>
      <c r="N882">
        <v>0</v>
      </c>
    </row>
    <row r="883" spans="9:14" x14ac:dyDescent="0.3">
      <c r="I883">
        <v>880</v>
      </c>
      <c r="J883">
        <v>2.1252638822086261</v>
      </c>
      <c r="K883">
        <v>0</v>
      </c>
      <c r="L883">
        <v>0</v>
      </c>
      <c r="M883">
        <v>2.1252638822086261</v>
      </c>
      <c r="N883">
        <v>0</v>
      </c>
    </row>
    <row r="884" spans="9:14" x14ac:dyDescent="0.3">
      <c r="I884">
        <v>881</v>
      </c>
      <c r="J884">
        <v>1.456053466582836</v>
      </c>
      <c r="K884">
        <v>0</v>
      </c>
      <c r="L884">
        <v>0</v>
      </c>
      <c r="M884">
        <v>1.456053466582836</v>
      </c>
      <c r="N884">
        <v>1</v>
      </c>
    </row>
    <row r="885" spans="9:14" x14ac:dyDescent="0.3">
      <c r="I885">
        <v>882</v>
      </c>
      <c r="J885">
        <v>1.6649435860820581</v>
      </c>
      <c r="K885">
        <v>0</v>
      </c>
      <c r="L885">
        <v>0</v>
      </c>
      <c r="M885">
        <v>1.6649435860820581</v>
      </c>
      <c r="N885">
        <v>1</v>
      </c>
    </row>
    <row r="886" spans="9:14" x14ac:dyDescent="0.3">
      <c r="I886">
        <v>883</v>
      </c>
      <c r="J886">
        <v>1.6051930663290801</v>
      </c>
      <c r="K886">
        <v>1</v>
      </c>
      <c r="L886">
        <v>1.0272765306865539</v>
      </c>
      <c r="M886">
        <v>2.6324695970156342</v>
      </c>
      <c r="N886">
        <v>0</v>
      </c>
    </row>
    <row r="887" spans="9:14" x14ac:dyDescent="0.3">
      <c r="I887">
        <v>884</v>
      </c>
      <c r="J887">
        <v>1.5926626152111081</v>
      </c>
      <c r="K887">
        <v>1</v>
      </c>
      <c r="L887">
        <v>1.640997382124048</v>
      </c>
      <c r="M887">
        <v>3.2336599973351561</v>
      </c>
      <c r="N887">
        <v>0</v>
      </c>
    </row>
    <row r="888" spans="9:14" x14ac:dyDescent="0.3">
      <c r="I888">
        <v>885</v>
      </c>
      <c r="J888">
        <v>2.6544433545412072</v>
      </c>
      <c r="K888">
        <v>0</v>
      </c>
      <c r="L888">
        <v>0</v>
      </c>
      <c r="M888">
        <v>2.6544433545412072</v>
      </c>
      <c r="N888">
        <v>0</v>
      </c>
    </row>
    <row r="889" spans="9:14" x14ac:dyDescent="0.3">
      <c r="I889">
        <v>886</v>
      </c>
      <c r="J889">
        <v>1.6142941860914459</v>
      </c>
      <c r="K889">
        <v>0</v>
      </c>
      <c r="L889">
        <v>0</v>
      </c>
      <c r="M889">
        <v>1.6142941860914459</v>
      </c>
      <c r="N889">
        <v>1</v>
      </c>
    </row>
    <row r="890" spans="9:14" x14ac:dyDescent="0.3">
      <c r="I890">
        <v>887</v>
      </c>
      <c r="J890">
        <v>2.1802213745366901</v>
      </c>
      <c r="K890">
        <v>0</v>
      </c>
      <c r="L890">
        <v>0</v>
      </c>
      <c r="M890">
        <v>2.1802213745366901</v>
      </c>
      <c r="N890">
        <v>0</v>
      </c>
    </row>
    <row r="891" spans="9:14" x14ac:dyDescent="0.3">
      <c r="I891">
        <v>888</v>
      </c>
      <c r="J891">
        <v>2.293670340799332</v>
      </c>
      <c r="K891">
        <v>0</v>
      </c>
      <c r="L891">
        <v>0</v>
      </c>
      <c r="M891">
        <v>2.293670340799332</v>
      </c>
      <c r="N891">
        <v>0</v>
      </c>
    </row>
    <row r="892" spans="9:14" x14ac:dyDescent="0.3">
      <c r="I892">
        <v>889</v>
      </c>
      <c r="J892">
        <v>2.2259273253076008</v>
      </c>
      <c r="K892">
        <v>0</v>
      </c>
      <c r="L892">
        <v>0</v>
      </c>
      <c r="M892">
        <v>2.2259273253076008</v>
      </c>
      <c r="N892">
        <v>0</v>
      </c>
    </row>
    <row r="893" spans="9:14" x14ac:dyDescent="0.3">
      <c r="I893">
        <v>890</v>
      </c>
      <c r="J893">
        <v>2.042639826758327</v>
      </c>
      <c r="K893">
        <v>1</v>
      </c>
      <c r="L893">
        <v>1.0550860633386989</v>
      </c>
      <c r="M893">
        <v>3.097725890097025</v>
      </c>
      <c r="N893">
        <v>0</v>
      </c>
    </row>
    <row r="894" spans="9:14" x14ac:dyDescent="0.3">
      <c r="I894">
        <v>891</v>
      </c>
      <c r="J894">
        <v>1.595845506622432</v>
      </c>
      <c r="K894">
        <v>0</v>
      </c>
      <c r="L894">
        <v>0</v>
      </c>
      <c r="M894">
        <v>1.595845506622432</v>
      </c>
      <c r="N894">
        <v>1</v>
      </c>
    </row>
    <row r="895" spans="9:14" x14ac:dyDescent="0.3">
      <c r="I895">
        <v>892</v>
      </c>
      <c r="J895">
        <v>2.3380604388880211</v>
      </c>
      <c r="K895">
        <v>0</v>
      </c>
      <c r="L895">
        <v>0</v>
      </c>
      <c r="M895">
        <v>2.3380604388880211</v>
      </c>
      <c r="N895">
        <v>0</v>
      </c>
    </row>
    <row r="896" spans="9:14" x14ac:dyDescent="0.3">
      <c r="I896">
        <v>893</v>
      </c>
      <c r="J896">
        <v>1.6261000163288559</v>
      </c>
      <c r="K896">
        <v>0</v>
      </c>
      <c r="L896">
        <v>0</v>
      </c>
      <c r="M896">
        <v>1.6261000163288559</v>
      </c>
      <c r="N896">
        <v>1</v>
      </c>
    </row>
    <row r="897" spans="9:14" x14ac:dyDescent="0.3">
      <c r="I897">
        <v>894</v>
      </c>
      <c r="J897">
        <v>2.669763417423749</v>
      </c>
      <c r="K897">
        <v>0</v>
      </c>
      <c r="L897">
        <v>0</v>
      </c>
      <c r="M897">
        <v>2.669763417423749</v>
      </c>
      <c r="N897">
        <v>0</v>
      </c>
    </row>
    <row r="898" spans="9:14" x14ac:dyDescent="0.3">
      <c r="I898">
        <v>895</v>
      </c>
      <c r="J898">
        <v>2.8611799015949648</v>
      </c>
      <c r="K898">
        <v>1</v>
      </c>
      <c r="L898">
        <v>1.613210430556594</v>
      </c>
      <c r="M898">
        <v>4.4743903321515592</v>
      </c>
      <c r="N898">
        <v>0</v>
      </c>
    </row>
    <row r="899" spans="9:14" x14ac:dyDescent="0.3">
      <c r="I899">
        <v>896</v>
      </c>
      <c r="J899">
        <v>2.4769256127169861</v>
      </c>
      <c r="K899">
        <v>0</v>
      </c>
      <c r="L899">
        <v>0</v>
      </c>
      <c r="M899">
        <v>2.4769256127169861</v>
      </c>
      <c r="N899">
        <v>0</v>
      </c>
    </row>
    <row r="900" spans="9:14" x14ac:dyDescent="0.3">
      <c r="I900">
        <v>897</v>
      </c>
      <c r="J900">
        <v>1.3748531699065889</v>
      </c>
      <c r="K900">
        <v>1</v>
      </c>
      <c r="L900">
        <v>1.1548768093035719</v>
      </c>
      <c r="M900">
        <v>2.5297299792101611</v>
      </c>
      <c r="N900">
        <v>0</v>
      </c>
    </row>
    <row r="901" spans="9:14" x14ac:dyDescent="0.3">
      <c r="I901">
        <v>898</v>
      </c>
      <c r="J901">
        <v>2.7769805157159722</v>
      </c>
      <c r="K901">
        <v>0</v>
      </c>
      <c r="L901">
        <v>0</v>
      </c>
      <c r="M901">
        <v>2.7769805157159722</v>
      </c>
      <c r="N901">
        <v>0</v>
      </c>
    </row>
    <row r="902" spans="9:14" x14ac:dyDescent="0.3">
      <c r="I902">
        <v>899</v>
      </c>
      <c r="J902">
        <v>2.1084460902257081</v>
      </c>
      <c r="K902">
        <v>0</v>
      </c>
      <c r="L902">
        <v>0</v>
      </c>
      <c r="M902">
        <v>2.1084460902257081</v>
      </c>
      <c r="N902">
        <v>0</v>
      </c>
    </row>
    <row r="903" spans="9:14" x14ac:dyDescent="0.3">
      <c r="I903">
        <v>900</v>
      </c>
      <c r="J903">
        <v>1.716522637740737</v>
      </c>
      <c r="K903">
        <v>1</v>
      </c>
      <c r="L903">
        <v>1.157605848733221</v>
      </c>
      <c r="M903">
        <v>2.8741284864739578</v>
      </c>
      <c r="N903">
        <v>0</v>
      </c>
    </row>
    <row r="904" spans="9:14" x14ac:dyDescent="0.3">
      <c r="I904">
        <v>901</v>
      </c>
      <c r="J904">
        <v>1.472390052012424</v>
      </c>
      <c r="K904">
        <v>0</v>
      </c>
      <c r="L904">
        <v>0</v>
      </c>
      <c r="M904">
        <v>1.472390052012424</v>
      </c>
      <c r="N904">
        <v>1</v>
      </c>
    </row>
    <row r="905" spans="9:14" x14ac:dyDescent="0.3">
      <c r="I905">
        <v>902</v>
      </c>
      <c r="J905">
        <v>1.687784711701521</v>
      </c>
      <c r="K905">
        <v>0</v>
      </c>
      <c r="L905">
        <v>0</v>
      </c>
      <c r="M905">
        <v>1.687784711701521</v>
      </c>
      <c r="N905">
        <v>1</v>
      </c>
    </row>
    <row r="906" spans="9:14" x14ac:dyDescent="0.3">
      <c r="I906">
        <v>903</v>
      </c>
      <c r="J906">
        <v>2.0895689759667779</v>
      </c>
      <c r="K906">
        <v>1</v>
      </c>
      <c r="L906">
        <v>1.99302244043985</v>
      </c>
      <c r="M906">
        <v>4.0825914164066281</v>
      </c>
      <c r="N906">
        <v>0</v>
      </c>
    </row>
    <row r="907" spans="9:14" x14ac:dyDescent="0.3">
      <c r="I907">
        <v>904</v>
      </c>
      <c r="J907">
        <v>2.403292613738321</v>
      </c>
      <c r="K907">
        <v>1</v>
      </c>
      <c r="L907">
        <v>1.3137605594019031</v>
      </c>
      <c r="M907">
        <v>3.7170531731402239</v>
      </c>
      <c r="N907">
        <v>0</v>
      </c>
    </row>
    <row r="908" spans="9:14" x14ac:dyDescent="0.3">
      <c r="I908">
        <v>905</v>
      </c>
      <c r="J908">
        <v>1.7037393186465779</v>
      </c>
      <c r="K908">
        <v>1</v>
      </c>
      <c r="L908">
        <v>1.76209756989066</v>
      </c>
      <c r="M908">
        <v>3.4658368885372379</v>
      </c>
      <c r="N908">
        <v>0</v>
      </c>
    </row>
    <row r="909" spans="9:14" x14ac:dyDescent="0.3">
      <c r="I909">
        <v>906</v>
      </c>
      <c r="J909">
        <v>2.097286528620752</v>
      </c>
      <c r="K909">
        <v>0</v>
      </c>
      <c r="L909">
        <v>0</v>
      </c>
      <c r="M909">
        <v>2.097286528620752</v>
      </c>
      <c r="N909">
        <v>0</v>
      </c>
    </row>
    <row r="910" spans="9:14" x14ac:dyDescent="0.3">
      <c r="I910">
        <v>907</v>
      </c>
      <c r="J910">
        <v>2.35012518187024</v>
      </c>
      <c r="K910">
        <v>0</v>
      </c>
      <c r="L910">
        <v>0</v>
      </c>
      <c r="M910">
        <v>2.35012518187024</v>
      </c>
      <c r="N910">
        <v>0</v>
      </c>
    </row>
    <row r="911" spans="9:14" x14ac:dyDescent="0.3">
      <c r="I911">
        <v>908</v>
      </c>
      <c r="J911">
        <v>2.351971718823894</v>
      </c>
      <c r="K911">
        <v>0</v>
      </c>
      <c r="L911">
        <v>0</v>
      </c>
      <c r="M911">
        <v>2.351971718823894</v>
      </c>
      <c r="N911">
        <v>0</v>
      </c>
    </row>
    <row r="912" spans="9:14" x14ac:dyDescent="0.3">
      <c r="I912">
        <v>909</v>
      </c>
      <c r="J912">
        <v>1.3163877219557849</v>
      </c>
      <c r="K912">
        <v>1</v>
      </c>
      <c r="L912">
        <v>1.5007543358348969</v>
      </c>
      <c r="M912">
        <v>2.8171420577906821</v>
      </c>
      <c r="N912">
        <v>0</v>
      </c>
    </row>
    <row r="913" spans="9:14" x14ac:dyDescent="0.3">
      <c r="I913">
        <v>910</v>
      </c>
      <c r="J913">
        <v>1.229790375258738</v>
      </c>
      <c r="K913">
        <v>1</v>
      </c>
      <c r="L913">
        <v>1.4375254746540469</v>
      </c>
      <c r="M913">
        <v>2.6673158499127849</v>
      </c>
      <c r="N913">
        <v>0</v>
      </c>
    </row>
    <row r="914" spans="9:14" x14ac:dyDescent="0.3">
      <c r="I914">
        <v>911</v>
      </c>
      <c r="J914">
        <v>1.6992469912086829</v>
      </c>
      <c r="K914">
        <v>1</v>
      </c>
      <c r="L914">
        <v>1.2362886428281601</v>
      </c>
      <c r="M914">
        <v>2.9355356340368428</v>
      </c>
      <c r="N914">
        <v>0</v>
      </c>
    </row>
    <row r="915" spans="9:14" x14ac:dyDescent="0.3">
      <c r="I915">
        <v>912</v>
      </c>
      <c r="J915">
        <v>2.2687647745548212</v>
      </c>
      <c r="K915">
        <v>1</v>
      </c>
      <c r="L915">
        <v>1.768451867882447</v>
      </c>
      <c r="M915">
        <v>4.0372166424372686</v>
      </c>
      <c r="N915">
        <v>0</v>
      </c>
    </row>
    <row r="916" spans="9:14" x14ac:dyDescent="0.3">
      <c r="I916">
        <v>913</v>
      </c>
      <c r="J916">
        <v>1.667742927567438</v>
      </c>
      <c r="K916">
        <v>1</v>
      </c>
      <c r="L916">
        <v>1.874657381644508</v>
      </c>
      <c r="M916">
        <v>3.542400309211946</v>
      </c>
      <c r="N916">
        <v>0</v>
      </c>
    </row>
    <row r="917" spans="9:14" x14ac:dyDescent="0.3">
      <c r="I917">
        <v>914</v>
      </c>
      <c r="J917">
        <v>1.6379123405456519</v>
      </c>
      <c r="K917">
        <v>1</v>
      </c>
      <c r="L917">
        <v>1.667543370428336</v>
      </c>
      <c r="M917">
        <v>3.3054557109739888</v>
      </c>
      <c r="N917">
        <v>0</v>
      </c>
    </row>
    <row r="918" spans="9:14" x14ac:dyDescent="0.3">
      <c r="I918">
        <v>915</v>
      </c>
      <c r="J918">
        <v>1.425322376729427</v>
      </c>
      <c r="K918">
        <v>1</v>
      </c>
      <c r="L918">
        <v>1.846147832078411</v>
      </c>
      <c r="M918">
        <v>3.271470208807838</v>
      </c>
      <c r="N918">
        <v>0</v>
      </c>
    </row>
    <row r="919" spans="9:14" x14ac:dyDescent="0.3">
      <c r="I919">
        <v>916</v>
      </c>
      <c r="J919">
        <v>1.940102161750775</v>
      </c>
      <c r="K919">
        <v>1</v>
      </c>
      <c r="L919">
        <v>1.3380000735969619</v>
      </c>
      <c r="M919">
        <v>3.2781022353477369</v>
      </c>
      <c r="N919">
        <v>0</v>
      </c>
    </row>
    <row r="920" spans="9:14" x14ac:dyDescent="0.3">
      <c r="I920">
        <v>917</v>
      </c>
      <c r="J920">
        <v>1.4718804723572561</v>
      </c>
      <c r="K920">
        <v>1</v>
      </c>
      <c r="L920">
        <v>1.081484333109352</v>
      </c>
      <c r="M920">
        <v>2.5533648054666078</v>
      </c>
      <c r="N920">
        <v>0</v>
      </c>
    </row>
    <row r="921" spans="9:14" x14ac:dyDescent="0.3">
      <c r="I921">
        <v>918</v>
      </c>
      <c r="J921">
        <v>2.0216222592077688</v>
      </c>
      <c r="K921">
        <v>1</v>
      </c>
      <c r="L921">
        <v>1.6373335025533371</v>
      </c>
      <c r="M921">
        <v>3.6589557617611059</v>
      </c>
      <c r="N921">
        <v>0</v>
      </c>
    </row>
    <row r="922" spans="9:14" x14ac:dyDescent="0.3">
      <c r="I922">
        <v>919</v>
      </c>
      <c r="J922">
        <v>2.0520565534801238</v>
      </c>
      <c r="K922">
        <v>0</v>
      </c>
      <c r="L922">
        <v>0</v>
      </c>
      <c r="M922">
        <v>2.0520565534801238</v>
      </c>
      <c r="N922">
        <v>0</v>
      </c>
    </row>
    <row r="923" spans="9:14" x14ac:dyDescent="0.3">
      <c r="I923">
        <v>920</v>
      </c>
      <c r="J923">
        <v>2.4628504519121481</v>
      </c>
      <c r="K923">
        <v>0</v>
      </c>
      <c r="L923">
        <v>0</v>
      </c>
      <c r="M923">
        <v>2.4628504519121481</v>
      </c>
      <c r="N923">
        <v>0</v>
      </c>
    </row>
    <row r="924" spans="9:14" x14ac:dyDescent="0.3">
      <c r="I924">
        <v>921</v>
      </c>
      <c r="J924">
        <v>1.595529660407808</v>
      </c>
      <c r="K924">
        <v>1</v>
      </c>
      <c r="L924">
        <v>1.5362579108146051</v>
      </c>
      <c r="M924">
        <v>3.131787571222413</v>
      </c>
      <c r="N924">
        <v>0</v>
      </c>
    </row>
    <row r="925" spans="9:14" x14ac:dyDescent="0.3">
      <c r="I925">
        <v>922</v>
      </c>
      <c r="J925">
        <v>1.6493801680600531</v>
      </c>
      <c r="K925">
        <v>1</v>
      </c>
      <c r="L925">
        <v>1.258120599687353</v>
      </c>
      <c r="M925">
        <v>2.9075007677474058</v>
      </c>
      <c r="N925">
        <v>0</v>
      </c>
    </row>
    <row r="926" spans="9:14" x14ac:dyDescent="0.3">
      <c r="I926">
        <v>923</v>
      </c>
      <c r="J926">
        <v>2.208948124762276</v>
      </c>
      <c r="K926">
        <v>0</v>
      </c>
      <c r="L926">
        <v>0</v>
      </c>
      <c r="M926">
        <v>2.208948124762276</v>
      </c>
      <c r="N926">
        <v>0</v>
      </c>
    </row>
    <row r="927" spans="9:14" x14ac:dyDescent="0.3">
      <c r="I927">
        <v>924</v>
      </c>
      <c r="J927">
        <v>1.247593605442632</v>
      </c>
      <c r="K927">
        <v>1</v>
      </c>
      <c r="L927">
        <v>1.99325445405437</v>
      </c>
      <c r="M927">
        <v>3.2408480594970022</v>
      </c>
      <c r="N927">
        <v>0</v>
      </c>
    </row>
    <row r="928" spans="9:14" x14ac:dyDescent="0.3">
      <c r="I928">
        <v>925</v>
      </c>
      <c r="J928">
        <v>1.9748122283775329</v>
      </c>
      <c r="K928">
        <v>1</v>
      </c>
      <c r="L928">
        <v>1.6716758925901321</v>
      </c>
      <c r="M928">
        <v>3.6464881209676649</v>
      </c>
      <c r="N928">
        <v>0</v>
      </c>
    </row>
    <row r="929" spans="9:14" x14ac:dyDescent="0.3">
      <c r="I929">
        <v>926</v>
      </c>
      <c r="J929">
        <v>2.160701610278958</v>
      </c>
      <c r="K929">
        <v>1</v>
      </c>
      <c r="L929">
        <v>1.761860599782765</v>
      </c>
      <c r="M929">
        <v>3.9225622100617228</v>
      </c>
      <c r="N929">
        <v>0</v>
      </c>
    </row>
    <row r="930" spans="9:14" x14ac:dyDescent="0.3">
      <c r="I930">
        <v>927</v>
      </c>
      <c r="J930">
        <v>1.187163354354819</v>
      </c>
      <c r="K930">
        <v>0</v>
      </c>
      <c r="L930">
        <v>0</v>
      </c>
      <c r="M930">
        <v>1.187163354354819</v>
      </c>
      <c r="N930">
        <v>1</v>
      </c>
    </row>
    <row r="931" spans="9:14" x14ac:dyDescent="0.3">
      <c r="I931">
        <v>928</v>
      </c>
      <c r="J931">
        <v>2.307152299744085</v>
      </c>
      <c r="K931">
        <v>1</v>
      </c>
      <c r="L931">
        <v>1.143037434067915</v>
      </c>
      <c r="M931">
        <v>3.450189733812</v>
      </c>
      <c r="N931">
        <v>0</v>
      </c>
    </row>
    <row r="932" spans="9:14" x14ac:dyDescent="0.3">
      <c r="I932">
        <v>929</v>
      </c>
      <c r="J932">
        <v>1.68205270404991</v>
      </c>
      <c r="K932">
        <v>0</v>
      </c>
      <c r="L932">
        <v>0</v>
      </c>
      <c r="M932">
        <v>1.68205270404991</v>
      </c>
      <c r="N932">
        <v>1</v>
      </c>
    </row>
    <row r="933" spans="9:14" x14ac:dyDescent="0.3">
      <c r="I933">
        <v>930</v>
      </c>
      <c r="J933">
        <v>2.0204183531069169</v>
      </c>
      <c r="K933">
        <v>1</v>
      </c>
      <c r="L933">
        <v>1.7228486572371471</v>
      </c>
      <c r="M933">
        <v>3.7432670103440642</v>
      </c>
      <c r="N933">
        <v>0</v>
      </c>
    </row>
    <row r="934" spans="9:14" x14ac:dyDescent="0.3">
      <c r="I934">
        <v>931</v>
      </c>
      <c r="J934">
        <v>1.497495488510455</v>
      </c>
      <c r="K934">
        <v>0</v>
      </c>
      <c r="L934">
        <v>0</v>
      </c>
      <c r="M934">
        <v>1.497495488510455</v>
      </c>
      <c r="N934">
        <v>1</v>
      </c>
    </row>
    <row r="935" spans="9:14" x14ac:dyDescent="0.3">
      <c r="I935">
        <v>932</v>
      </c>
      <c r="J935">
        <v>2.1986074422351249</v>
      </c>
      <c r="K935">
        <v>0</v>
      </c>
      <c r="L935">
        <v>0</v>
      </c>
      <c r="M935">
        <v>2.1986074422351249</v>
      </c>
      <c r="N935">
        <v>0</v>
      </c>
    </row>
    <row r="936" spans="9:14" x14ac:dyDescent="0.3">
      <c r="I936">
        <v>933</v>
      </c>
      <c r="J936">
        <v>1.7408215971526</v>
      </c>
      <c r="K936">
        <v>1</v>
      </c>
      <c r="L936">
        <v>1.803244450304395</v>
      </c>
      <c r="M936">
        <v>3.5440660474569938</v>
      </c>
      <c r="N936">
        <v>0</v>
      </c>
    </row>
    <row r="937" spans="9:14" x14ac:dyDescent="0.3">
      <c r="I937">
        <v>934</v>
      </c>
      <c r="J937">
        <v>1.875804130205009</v>
      </c>
      <c r="K937">
        <v>1</v>
      </c>
      <c r="L937">
        <v>1.744677451379727</v>
      </c>
      <c r="M937">
        <v>3.6204815815847362</v>
      </c>
      <c r="N937">
        <v>0</v>
      </c>
    </row>
    <row r="938" spans="9:14" x14ac:dyDescent="0.3">
      <c r="I938">
        <v>935</v>
      </c>
      <c r="J938">
        <v>2.4867499302395371</v>
      </c>
      <c r="K938">
        <v>0</v>
      </c>
      <c r="L938">
        <v>0</v>
      </c>
      <c r="M938">
        <v>2.4867499302395371</v>
      </c>
      <c r="N938">
        <v>0</v>
      </c>
    </row>
    <row r="939" spans="9:14" x14ac:dyDescent="0.3">
      <c r="I939">
        <v>936</v>
      </c>
      <c r="J939">
        <v>1.838887539098399</v>
      </c>
      <c r="K939">
        <v>0</v>
      </c>
      <c r="L939">
        <v>0</v>
      </c>
      <c r="M939">
        <v>1.838887539098399</v>
      </c>
      <c r="N939">
        <v>1</v>
      </c>
    </row>
    <row r="940" spans="9:14" x14ac:dyDescent="0.3">
      <c r="I940">
        <v>937</v>
      </c>
      <c r="J940">
        <v>2.772922359427556</v>
      </c>
      <c r="K940">
        <v>1</v>
      </c>
      <c r="L940">
        <v>1.457306589530271</v>
      </c>
      <c r="M940">
        <v>4.2302289489578282</v>
      </c>
      <c r="N940">
        <v>0</v>
      </c>
    </row>
    <row r="941" spans="9:14" x14ac:dyDescent="0.3">
      <c r="I941">
        <v>938</v>
      </c>
      <c r="J941">
        <v>1.515457092264326</v>
      </c>
      <c r="K941">
        <v>1</v>
      </c>
      <c r="L941">
        <v>1.5182887198878661</v>
      </c>
      <c r="M941">
        <v>3.0337458121521932</v>
      </c>
      <c r="N941">
        <v>0</v>
      </c>
    </row>
    <row r="942" spans="9:14" x14ac:dyDescent="0.3">
      <c r="I942">
        <v>939</v>
      </c>
      <c r="J942">
        <v>2.7408704791199141</v>
      </c>
      <c r="K942">
        <v>1</v>
      </c>
      <c r="L942">
        <v>1.464940080403804</v>
      </c>
      <c r="M942">
        <v>4.2058105595237176</v>
      </c>
      <c r="N942">
        <v>0</v>
      </c>
    </row>
    <row r="943" spans="9:14" x14ac:dyDescent="0.3">
      <c r="I943">
        <v>940</v>
      </c>
      <c r="J943">
        <v>2.368500541738233</v>
      </c>
      <c r="K943">
        <v>0</v>
      </c>
      <c r="L943">
        <v>0</v>
      </c>
      <c r="M943">
        <v>2.368500541738233</v>
      </c>
      <c r="N943">
        <v>0</v>
      </c>
    </row>
    <row r="944" spans="9:14" x14ac:dyDescent="0.3">
      <c r="I944">
        <v>941</v>
      </c>
      <c r="J944">
        <v>1.289619617253474</v>
      </c>
      <c r="K944">
        <v>1</v>
      </c>
      <c r="L944">
        <v>1.9370818054469521</v>
      </c>
      <c r="M944">
        <v>3.226701422700426</v>
      </c>
      <c r="N944">
        <v>0</v>
      </c>
    </row>
    <row r="945" spans="9:14" x14ac:dyDescent="0.3">
      <c r="I945">
        <v>942</v>
      </c>
      <c r="J945">
        <v>2.646412682575574</v>
      </c>
      <c r="K945">
        <v>0</v>
      </c>
      <c r="L945">
        <v>0</v>
      </c>
      <c r="M945">
        <v>2.646412682575574</v>
      </c>
      <c r="N945">
        <v>0</v>
      </c>
    </row>
    <row r="946" spans="9:14" x14ac:dyDescent="0.3">
      <c r="I946">
        <v>943</v>
      </c>
      <c r="J946">
        <v>2.2875375067869039</v>
      </c>
      <c r="K946">
        <v>0</v>
      </c>
      <c r="L946">
        <v>0</v>
      </c>
      <c r="M946">
        <v>2.2875375067869039</v>
      </c>
      <c r="N946">
        <v>0</v>
      </c>
    </row>
    <row r="947" spans="9:14" x14ac:dyDescent="0.3">
      <c r="I947">
        <v>944</v>
      </c>
      <c r="J947">
        <v>2.4628935859107122</v>
      </c>
      <c r="K947">
        <v>1</v>
      </c>
      <c r="L947">
        <v>1.5643371940079429</v>
      </c>
      <c r="M947">
        <v>4.0272307799186553</v>
      </c>
      <c r="N947">
        <v>0</v>
      </c>
    </row>
    <row r="948" spans="9:14" x14ac:dyDescent="0.3">
      <c r="I948">
        <v>945</v>
      </c>
      <c r="J948">
        <v>1.8718327669215169</v>
      </c>
      <c r="K948">
        <v>0</v>
      </c>
      <c r="L948">
        <v>0</v>
      </c>
      <c r="M948">
        <v>1.8718327669215169</v>
      </c>
      <c r="N948">
        <v>1</v>
      </c>
    </row>
    <row r="949" spans="9:14" x14ac:dyDescent="0.3">
      <c r="I949">
        <v>946</v>
      </c>
      <c r="J949">
        <v>2.411267938704468</v>
      </c>
      <c r="K949">
        <v>0</v>
      </c>
      <c r="L949">
        <v>0</v>
      </c>
      <c r="M949">
        <v>2.411267938704468</v>
      </c>
      <c r="N949">
        <v>0</v>
      </c>
    </row>
    <row r="950" spans="9:14" x14ac:dyDescent="0.3">
      <c r="I950">
        <v>947</v>
      </c>
      <c r="J950">
        <v>1.200359624167332</v>
      </c>
      <c r="K950">
        <v>0</v>
      </c>
      <c r="L950">
        <v>0</v>
      </c>
      <c r="M950">
        <v>1.200359624167332</v>
      </c>
      <c r="N950">
        <v>1</v>
      </c>
    </row>
    <row r="951" spans="9:14" x14ac:dyDescent="0.3">
      <c r="I951">
        <v>948</v>
      </c>
      <c r="J951">
        <v>1.461432190510062</v>
      </c>
      <c r="K951">
        <v>1</v>
      </c>
      <c r="L951">
        <v>1.972660587369472</v>
      </c>
      <c r="M951">
        <v>3.4340927778795338</v>
      </c>
      <c r="N951">
        <v>0</v>
      </c>
    </row>
    <row r="952" spans="9:14" x14ac:dyDescent="0.3">
      <c r="I952">
        <v>949</v>
      </c>
      <c r="J952">
        <v>2.5777897161040939</v>
      </c>
      <c r="K952">
        <v>1</v>
      </c>
      <c r="L952">
        <v>1.1458655308079451</v>
      </c>
      <c r="M952">
        <v>3.7236552469120392</v>
      </c>
      <c r="N952">
        <v>0</v>
      </c>
    </row>
    <row r="953" spans="9:14" x14ac:dyDescent="0.3">
      <c r="I953">
        <v>950</v>
      </c>
      <c r="J953">
        <v>1.255057720013929</v>
      </c>
      <c r="K953">
        <v>0</v>
      </c>
      <c r="L953">
        <v>0</v>
      </c>
      <c r="M953">
        <v>1.255057720013929</v>
      </c>
      <c r="N953">
        <v>1</v>
      </c>
    </row>
    <row r="954" spans="9:14" x14ac:dyDescent="0.3">
      <c r="I954">
        <v>951</v>
      </c>
      <c r="J954">
        <v>1.720941534782199</v>
      </c>
      <c r="K954">
        <v>0</v>
      </c>
      <c r="L954">
        <v>0</v>
      </c>
      <c r="M954">
        <v>1.720941534782199</v>
      </c>
      <c r="N954">
        <v>1</v>
      </c>
    </row>
    <row r="955" spans="9:14" x14ac:dyDescent="0.3">
      <c r="I955">
        <v>952</v>
      </c>
      <c r="J955">
        <v>1.9948488459780751</v>
      </c>
      <c r="K955">
        <v>0</v>
      </c>
      <c r="L955">
        <v>0</v>
      </c>
      <c r="M955">
        <v>1.9948488459780751</v>
      </c>
      <c r="N955">
        <v>1</v>
      </c>
    </row>
    <row r="956" spans="9:14" x14ac:dyDescent="0.3">
      <c r="I956">
        <v>953</v>
      </c>
      <c r="J956">
        <v>1.8249151676218429</v>
      </c>
      <c r="K956">
        <v>1</v>
      </c>
      <c r="L956">
        <v>1.7268313875560941</v>
      </c>
      <c r="M956">
        <v>3.551746555177937</v>
      </c>
      <c r="N956">
        <v>0</v>
      </c>
    </row>
    <row r="957" spans="9:14" x14ac:dyDescent="0.3">
      <c r="I957">
        <v>954</v>
      </c>
      <c r="J957">
        <v>1.725049900415109</v>
      </c>
      <c r="K957">
        <v>0</v>
      </c>
      <c r="L957">
        <v>0</v>
      </c>
      <c r="M957">
        <v>1.725049900415109</v>
      </c>
      <c r="N957">
        <v>1</v>
      </c>
    </row>
    <row r="958" spans="9:14" x14ac:dyDescent="0.3">
      <c r="I958">
        <v>955</v>
      </c>
      <c r="J958">
        <v>1.2055311238579789</v>
      </c>
      <c r="K958">
        <v>0</v>
      </c>
      <c r="L958">
        <v>0</v>
      </c>
      <c r="M958">
        <v>1.2055311238579789</v>
      </c>
      <c r="N958">
        <v>1</v>
      </c>
    </row>
    <row r="959" spans="9:14" x14ac:dyDescent="0.3">
      <c r="I959">
        <v>956</v>
      </c>
      <c r="J959">
        <v>1.504864221707086</v>
      </c>
      <c r="K959">
        <v>0</v>
      </c>
      <c r="L959">
        <v>0</v>
      </c>
      <c r="M959">
        <v>1.504864221707086</v>
      </c>
      <c r="N959">
        <v>1</v>
      </c>
    </row>
    <row r="960" spans="9:14" x14ac:dyDescent="0.3">
      <c r="I960">
        <v>957</v>
      </c>
      <c r="J960">
        <v>1.7704533458393681</v>
      </c>
      <c r="K960">
        <v>1</v>
      </c>
      <c r="L960">
        <v>1.8198775624056081</v>
      </c>
      <c r="M960">
        <v>3.5903309082449759</v>
      </c>
      <c r="N960">
        <v>0</v>
      </c>
    </row>
    <row r="961" spans="9:14" x14ac:dyDescent="0.3">
      <c r="I961">
        <v>958</v>
      </c>
      <c r="J961">
        <v>1.9348823258003429</v>
      </c>
      <c r="K961">
        <v>1</v>
      </c>
      <c r="L961">
        <v>1.783297352152172</v>
      </c>
      <c r="M961">
        <v>3.7181796779525151</v>
      </c>
      <c r="N961">
        <v>0</v>
      </c>
    </row>
    <row r="962" spans="9:14" x14ac:dyDescent="0.3">
      <c r="I962">
        <v>959</v>
      </c>
      <c r="J962">
        <v>1.859414757642661</v>
      </c>
      <c r="K962">
        <v>1</v>
      </c>
      <c r="L962">
        <v>1.544424598188149</v>
      </c>
      <c r="M962">
        <v>3.4038393558308089</v>
      </c>
      <c r="N962">
        <v>0</v>
      </c>
    </row>
    <row r="963" spans="9:14" x14ac:dyDescent="0.3">
      <c r="I963">
        <v>960</v>
      </c>
      <c r="J963">
        <v>2.2419861572467341</v>
      </c>
      <c r="K963">
        <v>1</v>
      </c>
      <c r="L963">
        <v>1.97742244771274</v>
      </c>
      <c r="M963">
        <v>4.2194086049594741</v>
      </c>
      <c r="N963">
        <v>0</v>
      </c>
    </row>
    <row r="964" spans="9:14" x14ac:dyDescent="0.3">
      <c r="I964">
        <v>961</v>
      </c>
      <c r="J964">
        <v>1.8347465493982069</v>
      </c>
      <c r="K964">
        <v>0</v>
      </c>
      <c r="L964">
        <v>0</v>
      </c>
      <c r="M964">
        <v>1.8347465493982069</v>
      </c>
      <c r="N964">
        <v>1</v>
      </c>
    </row>
    <row r="965" spans="9:14" x14ac:dyDescent="0.3">
      <c r="I965">
        <v>962</v>
      </c>
      <c r="J965">
        <v>1.413071557149036</v>
      </c>
      <c r="K965">
        <v>1</v>
      </c>
      <c r="L965">
        <v>1.5648705260825779</v>
      </c>
      <c r="M965">
        <v>2.977942083231615</v>
      </c>
      <c r="N965">
        <v>0</v>
      </c>
    </row>
    <row r="966" spans="9:14" x14ac:dyDescent="0.3">
      <c r="I966">
        <v>963</v>
      </c>
      <c r="J966">
        <v>1.5250989628070699</v>
      </c>
      <c r="K966">
        <v>1</v>
      </c>
      <c r="L966">
        <v>1.9419581704565669</v>
      </c>
      <c r="M966">
        <v>3.467057133263638</v>
      </c>
      <c r="N966">
        <v>0</v>
      </c>
    </row>
    <row r="967" spans="9:14" x14ac:dyDescent="0.3">
      <c r="I967">
        <v>964</v>
      </c>
      <c r="J967">
        <v>2.2806937544317418</v>
      </c>
      <c r="K967">
        <v>0</v>
      </c>
      <c r="L967">
        <v>0</v>
      </c>
      <c r="M967">
        <v>2.2806937544317418</v>
      </c>
      <c r="N967">
        <v>0</v>
      </c>
    </row>
    <row r="968" spans="9:14" x14ac:dyDescent="0.3">
      <c r="I968">
        <v>965</v>
      </c>
      <c r="J968">
        <v>1.808195302092523</v>
      </c>
      <c r="K968">
        <v>1</v>
      </c>
      <c r="L968">
        <v>1.6833008839231209</v>
      </c>
      <c r="M968">
        <v>3.491496186015643</v>
      </c>
      <c r="N968">
        <v>0</v>
      </c>
    </row>
    <row r="969" spans="9:14" x14ac:dyDescent="0.3">
      <c r="I969">
        <v>966</v>
      </c>
      <c r="J969">
        <v>1.4839656595513691</v>
      </c>
      <c r="K969">
        <v>1</v>
      </c>
      <c r="L969">
        <v>1.0968125494251451</v>
      </c>
      <c r="M969">
        <v>2.5807782089765139</v>
      </c>
      <c r="N969">
        <v>0</v>
      </c>
    </row>
    <row r="970" spans="9:14" x14ac:dyDescent="0.3">
      <c r="I970">
        <v>967</v>
      </c>
      <c r="J970">
        <v>2.077272980488889</v>
      </c>
      <c r="K970">
        <v>0</v>
      </c>
      <c r="L970">
        <v>0</v>
      </c>
      <c r="M970">
        <v>2.077272980488889</v>
      </c>
      <c r="N970">
        <v>0</v>
      </c>
    </row>
    <row r="971" spans="9:14" x14ac:dyDescent="0.3">
      <c r="I971">
        <v>968</v>
      </c>
      <c r="J971">
        <v>2.6474251915370872</v>
      </c>
      <c r="K971">
        <v>0</v>
      </c>
      <c r="L971">
        <v>0</v>
      </c>
      <c r="M971">
        <v>2.6474251915370872</v>
      </c>
      <c r="N971">
        <v>0</v>
      </c>
    </row>
    <row r="972" spans="9:14" x14ac:dyDescent="0.3">
      <c r="I972">
        <v>969</v>
      </c>
      <c r="J972">
        <v>1.976599021259954</v>
      </c>
      <c r="K972">
        <v>0</v>
      </c>
      <c r="L972">
        <v>0</v>
      </c>
      <c r="M972">
        <v>1.976599021259954</v>
      </c>
      <c r="N972">
        <v>1</v>
      </c>
    </row>
    <row r="973" spans="9:14" x14ac:dyDescent="0.3">
      <c r="I973">
        <v>970</v>
      </c>
      <c r="J973">
        <v>2.543787970043879</v>
      </c>
      <c r="K973">
        <v>1</v>
      </c>
      <c r="L973">
        <v>1.0793665547846729</v>
      </c>
      <c r="M973">
        <v>3.623154524828553</v>
      </c>
      <c r="N973">
        <v>0</v>
      </c>
    </row>
    <row r="974" spans="9:14" x14ac:dyDescent="0.3">
      <c r="I974">
        <v>971</v>
      </c>
      <c r="J974">
        <v>2.026031074566617</v>
      </c>
      <c r="K974">
        <v>1</v>
      </c>
      <c r="L974">
        <v>1.483370012132244</v>
      </c>
      <c r="M974">
        <v>3.509401086698861</v>
      </c>
      <c r="N974">
        <v>0</v>
      </c>
    </row>
    <row r="975" spans="9:14" x14ac:dyDescent="0.3">
      <c r="I975">
        <v>972</v>
      </c>
      <c r="J975">
        <v>1.435838761768893</v>
      </c>
      <c r="K975">
        <v>1</v>
      </c>
      <c r="L975">
        <v>1.4286434567924511</v>
      </c>
      <c r="M975">
        <v>2.8644822185613439</v>
      </c>
      <c r="N975">
        <v>0</v>
      </c>
    </row>
    <row r="976" spans="9:14" x14ac:dyDescent="0.3">
      <c r="I976">
        <v>973</v>
      </c>
      <c r="J976">
        <v>1.212460648386114</v>
      </c>
      <c r="K976">
        <v>1</v>
      </c>
      <c r="L976">
        <v>1.805076192810767</v>
      </c>
      <c r="M976">
        <v>3.0175368411968808</v>
      </c>
      <c r="N976">
        <v>0</v>
      </c>
    </row>
    <row r="977" spans="9:14" x14ac:dyDescent="0.3">
      <c r="I977">
        <v>974</v>
      </c>
      <c r="J977">
        <v>2.2865148939902409</v>
      </c>
      <c r="K977">
        <v>0</v>
      </c>
      <c r="L977">
        <v>0</v>
      </c>
      <c r="M977">
        <v>2.2865148939902409</v>
      </c>
      <c r="N977">
        <v>0</v>
      </c>
    </row>
    <row r="978" spans="9:14" x14ac:dyDescent="0.3">
      <c r="I978">
        <v>975</v>
      </c>
      <c r="J978">
        <v>2.3755120011105042</v>
      </c>
      <c r="K978">
        <v>1</v>
      </c>
      <c r="L978">
        <v>1.604259269599132</v>
      </c>
      <c r="M978">
        <v>3.979771270709636</v>
      </c>
      <c r="N978">
        <v>0</v>
      </c>
    </row>
    <row r="979" spans="9:14" x14ac:dyDescent="0.3">
      <c r="I979">
        <v>976</v>
      </c>
      <c r="J979">
        <v>2.3614238192003101</v>
      </c>
      <c r="K979">
        <v>1</v>
      </c>
      <c r="L979">
        <v>1.462901178360541</v>
      </c>
      <c r="M979">
        <v>3.8243249975608511</v>
      </c>
      <c r="N979">
        <v>0</v>
      </c>
    </row>
    <row r="980" spans="9:14" x14ac:dyDescent="0.3">
      <c r="I980">
        <v>977</v>
      </c>
      <c r="J980">
        <v>2.0771736891543822</v>
      </c>
      <c r="K980">
        <v>0</v>
      </c>
      <c r="L980">
        <v>0</v>
      </c>
      <c r="M980">
        <v>2.0771736891543822</v>
      </c>
      <c r="N980">
        <v>0</v>
      </c>
    </row>
    <row r="981" spans="9:14" x14ac:dyDescent="0.3">
      <c r="I981">
        <v>978</v>
      </c>
      <c r="J981">
        <v>1.9391404125120659</v>
      </c>
      <c r="K981">
        <v>1</v>
      </c>
      <c r="L981">
        <v>1.741346923984215</v>
      </c>
      <c r="M981">
        <v>3.6804873364962818</v>
      </c>
      <c r="N981">
        <v>0</v>
      </c>
    </row>
    <row r="982" spans="9:14" x14ac:dyDescent="0.3">
      <c r="I982">
        <v>979</v>
      </c>
      <c r="J982">
        <v>1.857941922661039</v>
      </c>
      <c r="K982">
        <v>0</v>
      </c>
      <c r="L982">
        <v>0</v>
      </c>
      <c r="M982">
        <v>1.857941922661039</v>
      </c>
      <c r="N982">
        <v>1</v>
      </c>
    </row>
    <row r="983" spans="9:14" x14ac:dyDescent="0.3">
      <c r="I983">
        <v>980</v>
      </c>
      <c r="J983">
        <v>1.586633581455025</v>
      </c>
      <c r="K983">
        <v>1</v>
      </c>
      <c r="L983">
        <v>1.826869937750492</v>
      </c>
      <c r="M983">
        <v>3.4135035192055172</v>
      </c>
      <c r="N983">
        <v>0</v>
      </c>
    </row>
    <row r="984" spans="9:14" x14ac:dyDescent="0.3">
      <c r="I984">
        <v>981</v>
      </c>
      <c r="J984">
        <v>1.695616588066269</v>
      </c>
      <c r="K984">
        <v>0</v>
      </c>
      <c r="L984">
        <v>0</v>
      </c>
      <c r="M984">
        <v>1.695616588066269</v>
      </c>
      <c r="N984">
        <v>1</v>
      </c>
    </row>
    <row r="985" spans="9:14" x14ac:dyDescent="0.3">
      <c r="I985">
        <v>982</v>
      </c>
      <c r="J985">
        <v>1.6678281597859841</v>
      </c>
      <c r="K985">
        <v>0</v>
      </c>
      <c r="L985">
        <v>0</v>
      </c>
      <c r="M985">
        <v>1.6678281597859841</v>
      </c>
      <c r="N985">
        <v>1</v>
      </c>
    </row>
    <row r="986" spans="9:14" x14ac:dyDescent="0.3">
      <c r="I986">
        <v>983</v>
      </c>
      <c r="J986">
        <v>1.52001039070027</v>
      </c>
      <c r="K986">
        <v>1</v>
      </c>
      <c r="L986">
        <v>1.1479805654939319</v>
      </c>
      <c r="M986">
        <v>2.6679909561942021</v>
      </c>
      <c r="N986">
        <v>0</v>
      </c>
    </row>
    <row r="987" spans="9:14" x14ac:dyDescent="0.3">
      <c r="I987">
        <v>984</v>
      </c>
      <c r="J987">
        <v>1.9352703268440401</v>
      </c>
      <c r="K987">
        <v>1</v>
      </c>
      <c r="L987">
        <v>1.6281477056213809</v>
      </c>
      <c r="M987">
        <v>3.563418032465421</v>
      </c>
      <c r="N987">
        <v>0</v>
      </c>
    </row>
    <row r="988" spans="9:14" x14ac:dyDescent="0.3">
      <c r="I988">
        <v>985</v>
      </c>
      <c r="J988">
        <v>2.5015659146133289</v>
      </c>
      <c r="K988">
        <v>1</v>
      </c>
      <c r="L988">
        <v>1.312838573667769</v>
      </c>
      <c r="M988">
        <v>3.8144044882810979</v>
      </c>
      <c r="N988">
        <v>0</v>
      </c>
    </row>
    <row r="989" spans="9:14" x14ac:dyDescent="0.3">
      <c r="I989">
        <v>986</v>
      </c>
      <c r="J989">
        <v>2.240500087096116</v>
      </c>
      <c r="K989">
        <v>0</v>
      </c>
      <c r="L989">
        <v>0</v>
      </c>
      <c r="M989">
        <v>2.240500087096116</v>
      </c>
      <c r="N989">
        <v>0</v>
      </c>
    </row>
    <row r="990" spans="9:14" x14ac:dyDescent="0.3">
      <c r="I990">
        <v>987</v>
      </c>
      <c r="J990">
        <v>1.7484572299119869</v>
      </c>
      <c r="K990">
        <v>0</v>
      </c>
      <c r="L990">
        <v>0</v>
      </c>
      <c r="M990">
        <v>1.7484572299119869</v>
      </c>
      <c r="N990">
        <v>1</v>
      </c>
    </row>
    <row r="991" spans="9:14" x14ac:dyDescent="0.3">
      <c r="I991">
        <v>988</v>
      </c>
      <c r="J991">
        <v>1.369959452495991</v>
      </c>
      <c r="K991">
        <v>1</v>
      </c>
      <c r="L991">
        <v>1.4882323163176869</v>
      </c>
      <c r="M991">
        <v>2.8581917688136782</v>
      </c>
      <c r="N991">
        <v>0</v>
      </c>
    </row>
    <row r="992" spans="9:14" x14ac:dyDescent="0.3">
      <c r="I992">
        <v>989</v>
      </c>
      <c r="J992">
        <v>2.245669650908487</v>
      </c>
      <c r="K992">
        <v>0</v>
      </c>
      <c r="L992">
        <v>0</v>
      </c>
      <c r="M992">
        <v>2.245669650908487</v>
      </c>
      <c r="N992">
        <v>0</v>
      </c>
    </row>
    <row r="993" spans="9:14" x14ac:dyDescent="0.3">
      <c r="I993">
        <v>990</v>
      </c>
      <c r="J993">
        <v>2.0575296831352321</v>
      </c>
      <c r="K993">
        <v>1</v>
      </c>
      <c r="L993">
        <v>1.0073875753252139</v>
      </c>
      <c r="M993">
        <v>3.0649172584604458</v>
      </c>
      <c r="N993">
        <v>0</v>
      </c>
    </row>
    <row r="994" spans="9:14" x14ac:dyDescent="0.3">
      <c r="I994">
        <v>991</v>
      </c>
      <c r="J994">
        <v>2.2488580492651549</v>
      </c>
      <c r="K994">
        <v>0</v>
      </c>
      <c r="L994">
        <v>0</v>
      </c>
      <c r="M994">
        <v>2.2488580492651549</v>
      </c>
      <c r="N994">
        <v>0</v>
      </c>
    </row>
    <row r="995" spans="9:14" x14ac:dyDescent="0.3">
      <c r="I995">
        <v>992</v>
      </c>
      <c r="J995">
        <v>2.5314886449824452</v>
      </c>
      <c r="K995">
        <v>0</v>
      </c>
      <c r="L995">
        <v>0</v>
      </c>
      <c r="M995">
        <v>2.5314886449824452</v>
      </c>
      <c r="N995">
        <v>0</v>
      </c>
    </row>
    <row r="996" spans="9:14" x14ac:dyDescent="0.3">
      <c r="I996">
        <v>993</v>
      </c>
      <c r="J996">
        <v>2.4641448218390472</v>
      </c>
      <c r="K996">
        <v>0</v>
      </c>
      <c r="L996">
        <v>0</v>
      </c>
      <c r="M996">
        <v>2.4641448218390472</v>
      </c>
      <c r="N996">
        <v>0</v>
      </c>
    </row>
    <row r="997" spans="9:14" x14ac:dyDescent="0.3">
      <c r="I997">
        <v>994</v>
      </c>
      <c r="J997">
        <v>2.1253571608825061</v>
      </c>
      <c r="K997">
        <v>0</v>
      </c>
      <c r="L997">
        <v>0</v>
      </c>
      <c r="M997">
        <v>2.1253571608825061</v>
      </c>
      <c r="N997">
        <v>0</v>
      </c>
    </row>
    <row r="998" spans="9:14" x14ac:dyDescent="0.3">
      <c r="I998">
        <v>995</v>
      </c>
      <c r="J998">
        <v>1.750021051500249</v>
      </c>
      <c r="K998">
        <v>0</v>
      </c>
      <c r="L998">
        <v>0</v>
      </c>
      <c r="M998">
        <v>1.750021051500249</v>
      </c>
      <c r="N998">
        <v>1</v>
      </c>
    </row>
    <row r="999" spans="9:14" x14ac:dyDescent="0.3">
      <c r="I999">
        <v>996</v>
      </c>
      <c r="J999">
        <v>2.4143606655889891</v>
      </c>
      <c r="K999">
        <v>0</v>
      </c>
      <c r="L999">
        <v>0</v>
      </c>
      <c r="M999">
        <v>2.4143606655889891</v>
      </c>
      <c r="N999">
        <v>0</v>
      </c>
    </row>
    <row r="1000" spans="9:14" x14ac:dyDescent="0.3">
      <c r="I1000">
        <v>997</v>
      </c>
      <c r="J1000">
        <v>1.685857009343483</v>
      </c>
      <c r="K1000">
        <v>1</v>
      </c>
      <c r="L1000">
        <v>1.6498133616932491</v>
      </c>
      <c r="M1000">
        <v>3.3356703710367319</v>
      </c>
      <c r="N1000">
        <v>0</v>
      </c>
    </row>
    <row r="1001" spans="9:14" x14ac:dyDescent="0.3">
      <c r="I1001">
        <v>998</v>
      </c>
      <c r="J1001">
        <v>2.3061149070939999</v>
      </c>
      <c r="K1001">
        <v>0</v>
      </c>
      <c r="L1001">
        <v>0</v>
      </c>
      <c r="M1001">
        <v>2.3061149070939999</v>
      </c>
      <c r="N1001">
        <v>0</v>
      </c>
    </row>
    <row r="1002" spans="9:14" x14ac:dyDescent="0.3">
      <c r="I1002">
        <v>999</v>
      </c>
      <c r="J1002">
        <v>1.582027158089385</v>
      </c>
      <c r="K1002">
        <v>0</v>
      </c>
      <c r="L1002">
        <v>0</v>
      </c>
      <c r="M1002">
        <v>1.582027158089385</v>
      </c>
      <c r="N1002">
        <v>1</v>
      </c>
    </row>
    <row r="1003" spans="9:14" x14ac:dyDescent="0.3">
      <c r="I1003">
        <v>1000</v>
      </c>
      <c r="J1003">
        <v>2.536422858319586</v>
      </c>
      <c r="K1003">
        <v>0</v>
      </c>
      <c r="L1003">
        <v>0</v>
      </c>
      <c r="M1003">
        <v>2.536422858319586</v>
      </c>
      <c r="N100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D3C9-5CD4-4F25-B96A-96EA392F3A02}">
  <dimension ref="A1:AF282"/>
  <sheetViews>
    <sheetView rightToLeft="1" topLeftCell="D243" zoomScale="70" zoomScaleNormal="70" workbookViewId="0">
      <selection activeCell="AC16" sqref="AC16"/>
    </sheetView>
  </sheetViews>
  <sheetFormatPr defaultRowHeight="14.4" x14ac:dyDescent="0.3"/>
  <cols>
    <col min="1" max="1" width="10.88671875" style="37" bestFit="1" customWidth="1"/>
    <col min="2" max="2" width="16.109375" style="27" bestFit="1" customWidth="1"/>
    <col min="3" max="4" width="21" style="27" bestFit="1" customWidth="1"/>
    <col min="5" max="5" width="11.21875" style="27" bestFit="1" customWidth="1"/>
    <col min="6" max="6" width="8.88671875" style="27"/>
    <col min="7" max="7" width="8.88671875" style="35" customWidth="1"/>
    <col min="8" max="8" width="8.88671875" style="37" customWidth="1"/>
    <col min="9" max="12" width="8.88671875" style="27"/>
    <col min="13" max="13" width="10.109375" style="27" customWidth="1"/>
    <col min="14" max="14" width="5.109375" style="35" bestFit="1" customWidth="1"/>
    <col min="15" max="15" width="10.88671875" style="37" bestFit="1" customWidth="1"/>
    <col min="16" max="16" width="16.109375" style="27" bestFit="1" customWidth="1"/>
    <col min="17" max="20" width="8.88671875" style="27"/>
    <col min="21" max="21" width="8.88671875" style="35" customWidth="1"/>
    <col min="22" max="22" width="8.88671875" style="37" customWidth="1"/>
    <col min="23" max="27" width="8.88671875" style="27"/>
    <col min="28" max="28" width="8.88671875" style="35" customWidth="1"/>
    <col min="29" max="31" width="8.88671875" style="27"/>
    <col min="33" max="16384" width="8.88671875" style="27"/>
  </cols>
  <sheetData>
    <row r="1" spans="1:30" x14ac:dyDescent="0.3">
      <c r="A1" s="78" t="s">
        <v>183</v>
      </c>
      <c r="B1" s="79"/>
      <c r="C1" s="79"/>
      <c r="D1" s="79"/>
      <c r="E1" s="79"/>
      <c r="F1" s="79"/>
      <c r="G1" s="80"/>
      <c r="H1" s="78" t="s">
        <v>0</v>
      </c>
      <c r="I1" s="79"/>
      <c r="J1" s="79"/>
      <c r="K1" s="79"/>
      <c r="L1" s="79"/>
      <c r="M1" s="79"/>
      <c r="N1" s="80"/>
      <c r="O1" s="78" t="s">
        <v>4</v>
      </c>
      <c r="P1" s="79"/>
      <c r="Q1" s="79"/>
      <c r="R1" s="79"/>
      <c r="S1" s="79"/>
      <c r="T1" s="79"/>
      <c r="U1" s="80"/>
      <c r="V1" s="78" t="s">
        <v>3</v>
      </c>
      <c r="W1" s="79"/>
      <c r="X1" s="79"/>
      <c r="Y1" s="79"/>
      <c r="Z1" s="79"/>
      <c r="AA1" s="79"/>
      <c r="AB1" s="80"/>
    </row>
    <row r="2" spans="1:30" ht="54" customHeight="1" x14ac:dyDescent="0.3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65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43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51</v>
      </c>
      <c r="V2" s="2" t="s">
        <v>59</v>
      </c>
      <c r="W2" s="2" t="s">
        <v>60</v>
      </c>
      <c r="X2" s="2"/>
      <c r="Y2" s="2" t="s">
        <v>62</v>
      </c>
      <c r="Z2" s="2" t="s">
        <v>63</v>
      </c>
      <c r="AA2" s="2" t="s">
        <v>64</v>
      </c>
      <c r="AB2" s="42" t="s">
        <v>58</v>
      </c>
      <c r="AC2" s="43"/>
      <c r="AD2" s="27" t="str">
        <f>IF(ISNA($AD3), NA(),داشبرد!$D$5)</f>
        <v>فاز چهار: کل چرخه لجستیک | کل فاز (بدون لحاظ مسیر)</v>
      </c>
    </row>
    <row r="3" spans="1:30" x14ac:dyDescent="0.3">
      <c r="A3" s="34">
        <v>183</v>
      </c>
      <c r="B3" s="30">
        <v>10</v>
      </c>
      <c r="C3" s="30">
        <v>12</v>
      </c>
      <c r="D3" s="30">
        <v>13</v>
      </c>
      <c r="E3" s="30">
        <v>18</v>
      </c>
      <c r="F3" s="31">
        <v>17</v>
      </c>
      <c r="G3" s="35">
        <v>10</v>
      </c>
      <c r="H3" s="34">
        <v>38</v>
      </c>
      <c r="I3" s="30">
        <v>7</v>
      </c>
      <c r="J3" s="30">
        <v>7</v>
      </c>
      <c r="K3" s="30">
        <v>10</v>
      </c>
      <c r="L3" s="30">
        <v>12</v>
      </c>
      <c r="M3" s="30">
        <v>2</v>
      </c>
      <c r="N3" s="38">
        <v>7</v>
      </c>
      <c r="O3" s="34">
        <v>143</v>
      </c>
      <c r="P3" s="30">
        <v>0</v>
      </c>
      <c r="Q3" s="30">
        <v>0</v>
      </c>
      <c r="R3" s="30">
        <v>1</v>
      </c>
      <c r="S3" s="30">
        <v>4</v>
      </c>
      <c r="T3" s="30">
        <v>10</v>
      </c>
      <c r="U3" s="38">
        <v>2</v>
      </c>
      <c r="V3" s="34">
        <v>2</v>
      </c>
      <c r="W3" s="30">
        <v>3</v>
      </c>
      <c r="X3" s="30">
        <v>5</v>
      </c>
      <c r="Y3" s="30">
        <v>2</v>
      </c>
      <c r="Z3" s="30">
        <v>2</v>
      </c>
      <c r="AA3" s="30">
        <v>5</v>
      </c>
      <c r="AB3" s="35">
        <v>3</v>
      </c>
      <c r="AD3" s="27">
        <f>IF(ISNUMBER(INDEX($A3:$AB3, MATCH(داشبرد!$D$5, $A$2:$AB$2, 0))), INDEX($A3:$AB3, MATCH(داشبرد!$D$5, $A$2:$AB$2, 0)), NA())</f>
        <v>10</v>
      </c>
    </row>
    <row r="4" spans="1:30" x14ac:dyDescent="0.3">
      <c r="A4" s="34">
        <v>183</v>
      </c>
      <c r="B4" s="30">
        <v>10</v>
      </c>
      <c r="C4" s="30">
        <v>9</v>
      </c>
      <c r="D4" s="30">
        <v>14</v>
      </c>
      <c r="E4" s="30">
        <v>20</v>
      </c>
      <c r="F4" s="31">
        <v>16</v>
      </c>
      <c r="G4" s="35">
        <v>10</v>
      </c>
      <c r="H4" s="34">
        <v>38</v>
      </c>
      <c r="I4" s="30">
        <v>7</v>
      </c>
      <c r="J4" s="30">
        <v>7</v>
      </c>
      <c r="K4" s="30">
        <v>10</v>
      </c>
      <c r="L4" s="30">
        <v>12</v>
      </c>
      <c r="M4" s="30">
        <v>2</v>
      </c>
      <c r="N4" s="38">
        <v>7</v>
      </c>
      <c r="O4" s="34">
        <v>143</v>
      </c>
      <c r="P4" s="30">
        <v>0</v>
      </c>
      <c r="Q4" s="30">
        <v>0</v>
      </c>
      <c r="R4" s="30">
        <v>1</v>
      </c>
      <c r="S4" s="30">
        <v>4</v>
      </c>
      <c r="T4" s="30">
        <v>10</v>
      </c>
      <c r="U4" s="38">
        <v>3</v>
      </c>
      <c r="V4" s="34">
        <v>2</v>
      </c>
      <c r="W4" s="30">
        <v>3</v>
      </c>
      <c r="X4" s="30">
        <v>2</v>
      </c>
      <c r="Y4" s="30">
        <v>3</v>
      </c>
      <c r="Z4" s="30">
        <v>4</v>
      </c>
      <c r="AA4" s="30">
        <v>4</v>
      </c>
      <c r="AB4" s="35">
        <v>3</v>
      </c>
      <c r="AD4" s="27">
        <f>IF(ISNUMBER(INDEX($A4:$AB4, MATCH(داشبرد!$D$5, $A$2:$AB$2, 0))), INDEX($A4:$AB4, MATCH(داشبرد!$D$5, $A$2:$AB$2, 0)), NA())</f>
        <v>10</v>
      </c>
    </row>
    <row r="5" spans="1:30" x14ac:dyDescent="0.3">
      <c r="A5" s="34">
        <v>42</v>
      </c>
      <c r="B5" s="30">
        <v>9</v>
      </c>
      <c r="C5" s="30">
        <v>8</v>
      </c>
      <c r="D5" s="30">
        <v>14</v>
      </c>
      <c r="E5" s="30">
        <v>19</v>
      </c>
      <c r="F5" s="31">
        <v>16</v>
      </c>
      <c r="G5" s="35">
        <v>9</v>
      </c>
      <c r="H5" s="34">
        <v>38</v>
      </c>
      <c r="I5" s="30">
        <v>7</v>
      </c>
      <c r="J5" s="30">
        <v>2</v>
      </c>
      <c r="K5" s="30">
        <v>10</v>
      </c>
      <c r="L5" s="30">
        <v>12</v>
      </c>
      <c r="M5" s="30">
        <v>2</v>
      </c>
      <c r="N5" s="38">
        <v>7</v>
      </c>
      <c r="O5" s="34">
        <v>1</v>
      </c>
      <c r="P5" s="30">
        <v>0</v>
      </c>
      <c r="Q5" s="30">
        <v>2</v>
      </c>
      <c r="R5" s="30">
        <v>1</v>
      </c>
      <c r="S5" s="30">
        <v>4</v>
      </c>
      <c r="T5" s="30">
        <v>10</v>
      </c>
      <c r="U5" s="38">
        <v>3</v>
      </c>
      <c r="V5" s="34">
        <v>3</v>
      </c>
      <c r="W5" s="30">
        <v>2</v>
      </c>
      <c r="X5" s="30">
        <v>4</v>
      </c>
      <c r="Y5" s="30">
        <v>3</v>
      </c>
      <c r="Z5" s="30">
        <v>3</v>
      </c>
      <c r="AA5" s="30">
        <v>4</v>
      </c>
      <c r="AB5" s="35">
        <v>2</v>
      </c>
      <c r="AD5" s="27">
        <f>IF(ISNUMBER(INDEX($A5:$AB5, MATCH(داشبرد!$D$5, $A$2:$AB$2, 0))), INDEX($A5:$AB5, MATCH(داشبرد!$D$5, $A$2:$AB$2, 0)), NA())</f>
        <v>9</v>
      </c>
    </row>
    <row r="6" spans="1:30" x14ac:dyDescent="0.3">
      <c r="A6" s="34">
        <v>67</v>
      </c>
      <c r="B6" s="30">
        <v>9</v>
      </c>
      <c r="C6" s="30">
        <v>7</v>
      </c>
      <c r="D6" s="30">
        <v>14</v>
      </c>
      <c r="E6" s="30">
        <v>6</v>
      </c>
      <c r="F6" s="31">
        <v>18</v>
      </c>
      <c r="G6" s="35">
        <v>12</v>
      </c>
      <c r="H6" s="34">
        <v>65</v>
      </c>
      <c r="I6" s="30">
        <v>7</v>
      </c>
      <c r="J6" s="30">
        <v>2</v>
      </c>
      <c r="K6" s="30">
        <v>10</v>
      </c>
      <c r="L6" s="30">
        <v>3</v>
      </c>
      <c r="M6" s="30">
        <v>12</v>
      </c>
      <c r="N6" s="38">
        <v>7</v>
      </c>
      <c r="O6" s="34">
        <v>0</v>
      </c>
      <c r="P6" s="30">
        <v>0</v>
      </c>
      <c r="Q6" s="30">
        <v>2</v>
      </c>
      <c r="R6" s="30">
        <v>1</v>
      </c>
      <c r="S6" s="30">
        <v>1</v>
      </c>
      <c r="T6" s="30">
        <v>2</v>
      </c>
      <c r="U6" s="38">
        <v>2</v>
      </c>
      <c r="V6" s="34">
        <v>2</v>
      </c>
      <c r="W6" s="30">
        <v>2</v>
      </c>
      <c r="X6" s="30">
        <v>3</v>
      </c>
      <c r="Y6" s="30">
        <v>3</v>
      </c>
      <c r="Z6" s="30">
        <v>2</v>
      </c>
      <c r="AA6" s="30">
        <v>4</v>
      </c>
      <c r="AB6" s="35">
        <v>5</v>
      </c>
      <c r="AD6" s="27">
        <f>IF(ISNUMBER(INDEX($A6:$AB6, MATCH(داشبرد!$D$5, $A$2:$AB$2, 0))), INDEX($A6:$AB6, MATCH(داشبرد!$D$5, $A$2:$AB$2, 0)), NA())</f>
        <v>12</v>
      </c>
    </row>
    <row r="7" spans="1:30" x14ac:dyDescent="0.3">
      <c r="A7" s="34">
        <v>67</v>
      </c>
      <c r="B7" s="30">
        <v>10</v>
      </c>
      <c r="C7" s="30">
        <v>6</v>
      </c>
      <c r="D7" s="30">
        <v>12</v>
      </c>
      <c r="E7" s="30">
        <v>6</v>
      </c>
      <c r="F7" s="31">
        <v>19</v>
      </c>
      <c r="G7" s="35">
        <v>9</v>
      </c>
      <c r="H7" s="34">
        <v>65</v>
      </c>
      <c r="I7" s="30">
        <v>7</v>
      </c>
      <c r="J7" s="30">
        <v>2</v>
      </c>
      <c r="K7" s="30">
        <v>10</v>
      </c>
      <c r="L7" s="30">
        <v>3</v>
      </c>
      <c r="M7" s="30">
        <v>12</v>
      </c>
      <c r="N7" s="38">
        <v>7</v>
      </c>
      <c r="O7" s="34">
        <v>0</v>
      </c>
      <c r="P7" s="30">
        <v>0</v>
      </c>
      <c r="Q7" s="30">
        <v>2</v>
      </c>
      <c r="R7" s="30">
        <v>0</v>
      </c>
      <c r="S7" s="30">
        <v>1</v>
      </c>
      <c r="T7" s="30">
        <v>2</v>
      </c>
      <c r="U7" s="38">
        <v>2</v>
      </c>
      <c r="V7" s="34">
        <v>2</v>
      </c>
      <c r="W7" s="30">
        <v>3</v>
      </c>
      <c r="X7" s="30">
        <v>2</v>
      </c>
      <c r="Y7" s="30">
        <v>2</v>
      </c>
      <c r="Z7" s="30">
        <v>2</v>
      </c>
      <c r="AA7" s="30">
        <v>5</v>
      </c>
      <c r="AB7" s="35">
        <v>2</v>
      </c>
      <c r="AD7" s="27">
        <f>IF(ISNUMBER(INDEX($A7:$AB7, MATCH(داشبرد!$D$5, $A$2:$AB$2, 0))), INDEX($A7:$AB7, MATCH(داشبرد!$D$5, $A$2:$AB$2, 0)), NA())</f>
        <v>9</v>
      </c>
    </row>
    <row r="8" spans="1:30" x14ac:dyDescent="0.3">
      <c r="A8" s="34">
        <v>67</v>
      </c>
      <c r="B8" s="30">
        <v>8</v>
      </c>
      <c r="C8" s="30">
        <v>6</v>
      </c>
      <c r="D8" s="30">
        <v>13</v>
      </c>
      <c r="E8" s="30">
        <v>8</v>
      </c>
      <c r="F8" s="31">
        <v>18</v>
      </c>
      <c r="G8" s="35">
        <v>10</v>
      </c>
      <c r="H8" s="34">
        <v>65</v>
      </c>
      <c r="I8" s="30">
        <v>4</v>
      </c>
      <c r="J8" s="30">
        <v>1</v>
      </c>
      <c r="K8" s="30">
        <v>10</v>
      </c>
      <c r="L8" s="30">
        <v>3</v>
      </c>
      <c r="M8" s="30">
        <v>12</v>
      </c>
      <c r="N8" s="38">
        <v>7</v>
      </c>
      <c r="O8" s="34">
        <v>0</v>
      </c>
      <c r="P8" s="30">
        <v>1</v>
      </c>
      <c r="Q8" s="30">
        <v>4</v>
      </c>
      <c r="R8" s="30">
        <v>0</v>
      </c>
      <c r="S8" s="30">
        <v>1</v>
      </c>
      <c r="T8" s="30">
        <v>2</v>
      </c>
      <c r="U8" s="38">
        <v>2</v>
      </c>
      <c r="V8" s="34">
        <v>2</v>
      </c>
      <c r="W8" s="30">
        <v>3</v>
      </c>
      <c r="X8" s="30">
        <v>1</v>
      </c>
      <c r="Y8" s="30">
        <v>3</v>
      </c>
      <c r="Z8" s="30">
        <v>4</v>
      </c>
      <c r="AA8" s="30">
        <v>4</v>
      </c>
      <c r="AB8" s="35">
        <v>3</v>
      </c>
      <c r="AD8" s="27">
        <f>IF(ISNUMBER(INDEX($A8:$AB8, MATCH(داشبرد!$D$5, $A$2:$AB$2, 0))), INDEX($A8:$AB8, MATCH(داشبرد!$D$5, $A$2:$AB$2, 0)), NA())</f>
        <v>10</v>
      </c>
    </row>
    <row r="9" spans="1:30" x14ac:dyDescent="0.3">
      <c r="A9" s="34">
        <v>19</v>
      </c>
      <c r="B9" s="30">
        <v>7</v>
      </c>
      <c r="C9" s="30">
        <v>9</v>
      </c>
      <c r="D9" s="30">
        <v>12</v>
      </c>
      <c r="E9" s="30">
        <v>11</v>
      </c>
      <c r="F9" s="31">
        <v>12</v>
      </c>
      <c r="G9" s="35">
        <v>9</v>
      </c>
      <c r="H9" s="34">
        <v>14</v>
      </c>
      <c r="I9" s="30">
        <v>4</v>
      </c>
      <c r="J9" s="30">
        <v>1</v>
      </c>
      <c r="K9" s="30">
        <v>10</v>
      </c>
      <c r="L9" s="30">
        <v>7</v>
      </c>
      <c r="M9" s="30">
        <v>3</v>
      </c>
      <c r="N9" s="38">
        <v>7</v>
      </c>
      <c r="O9" s="34">
        <v>1</v>
      </c>
      <c r="P9" s="30">
        <v>1</v>
      </c>
      <c r="Q9" s="30">
        <v>3</v>
      </c>
      <c r="R9" s="30">
        <v>0</v>
      </c>
      <c r="S9" s="30">
        <v>1</v>
      </c>
      <c r="T9" s="30">
        <v>5</v>
      </c>
      <c r="U9" s="38">
        <v>2</v>
      </c>
      <c r="V9" s="34">
        <v>4</v>
      </c>
      <c r="W9" s="30">
        <v>2</v>
      </c>
      <c r="X9" s="30">
        <v>5</v>
      </c>
      <c r="Y9" s="30">
        <v>2</v>
      </c>
      <c r="Z9" s="30">
        <v>3</v>
      </c>
      <c r="AA9" s="30">
        <v>4</v>
      </c>
      <c r="AB9" s="35">
        <v>2</v>
      </c>
      <c r="AD9" s="27">
        <f>IF(ISNUMBER(INDEX($A9:$AB9, MATCH(داشبرد!$D$5, $A$2:$AB$2, 0))), INDEX($A9:$AB9, MATCH(داشبرد!$D$5, $A$2:$AB$2, 0)), NA())</f>
        <v>9</v>
      </c>
    </row>
    <row r="10" spans="1:30" x14ac:dyDescent="0.3">
      <c r="A10" s="34">
        <v>18</v>
      </c>
      <c r="B10" s="30">
        <v>6</v>
      </c>
      <c r="C10" s="30">
        <v>6</v>
      </c>
      <c r="D10" s="30">
        <v>13</v>
      </c>
      <c r="E10" s="30">
        <v>12</v>
      </c>
      <c r="F10" s="31">
        <v>12</v>
      </c>
      <c r="G10" s="35">
        <v>40</v>
      </c>
      <c r="H10" s="34">
        <v>14</v>
      </c>
      <c r="I10" s="30">
        <v>4</v>
      </c>
      <c r="J10" s="30">
        <v>1</v>
      </c>
      <c r="K10" s="30">
        <v>10</v>
      </c>
      <c r="L10" s="30">
        <v>7</v>
      </c>
      <c r="M10" s="30">
        <v>3</v>
      </c>
      <c r="N10" s="38">
        <v>38</v>
      </c>
      <c r="O10" s="34">
        <v>2</v>
      </c>
      <c r="P10" s="30">
        <v>1</v>
      </c>
      <c r="Q10" s="30">
        <v>3</v>
      </c>
      <c r="R10" s="30">
        <v>0</v>
      </c>
      <c r="S10" s="30">
        <v>2</v>
      </c>
      <c r="T10" s="30">
        <v>5</v>
      </c>
      <c r="U10" s="38">
        <v>2</v>
      </c>
      <c r="V10" s="34">
        <v>2</v>
      </c>
      <c r="W10" s="30">
        <v>1</v>
      </c>
      <c r="X10" s="30">
        <v>2</v>
      </c>
      <c r="Y10" s="30">
        <v>3</v>
      </c>
      <c r="Z10" s="30">
        <v>3</v>
      </c>
      <c r="AA10" s="30">
        <v>4</v>
      </c>
      <c r="AB10" s="35">
        <v>2</v>
      </c>
      <c r="AD10" s="27">
        <f>IF(ISNUMBER(INDEX($A10:$AB10, MATCH(داشبرد!$D$5, $A$2:$AB$2, 0))), INDEX($A10:$AB10, MATCH(داشبرد!$D$5, $A$2:$AB$2, 0)), NA())</f>
        <v>40</v>
      </c>
    </row>
    <row r="11" spans="1:30" x14ac:dyDescent="0.3">
      <c r="A11" s="34">
        <v>18</v>
      </c>
      <c r="B11" s="30">
        <v>8</v>
      </c>
      <c r="C11" s="30">
        <v>8</v>
      </c>
      <c r="D11" s="30">
        <v>5</v>
      </c>
      <c r="E11" s="30">
        <v>14</v>
      </c>
      <c r="F11" s="31">
        <v>12</v>
      </c>
      <c r="G11" s="35">
        <v>40</v>
      </c>
      <c r="H11" s="34">
        <v>14</v>
      </c>
      <c r="I11" s="30">
        <v>3</v>
      </c>
      <c r="J11" s="30">
        <v>1</v>
      </c>
      <c r="K11" s="30">
        <v>3</v>
      </c>
      <c r="L11" s="30">
        <v>7</v>
      </c>
      <c r="M11" s="30">
        <v>3</v>
      </c>
      <c r="N11" s="38">
        <v>38</v>
      </c>
      <c r="O11" s="34">
        <v>2</v>
      </c>
      <c r="P11" s="30">
        <v>3</v>
      </c>
      <c r="Q11" s="30">
        <v>3</v>
      </c>
      <c r="R11" s="30">
        <v>0</v>
      </c>
      <c r="S11" s="30">
        <v>3</v>
      </c>
      <c r="T11" s="30">
        <v>5</v>
      </c>
      <c r="U11" s="38">
        <v>3</v>
      </c>
      <c r="V11" s="34">
        <v>2</v>
      </c>
      <c r="W11" s="30">
        <v>2</v>
      </c>
      <c r="X11" s="30">
        <v>4</v>
      </c>
      <c r="Y11" s="30">
        <v>2</v>
      </c>
      <c r="Z11" s="30">
        <v>4</v>
      </c>
      <c r="AA11" s="30">
        <v>4</v>
      </c>
      <c r="AB11" s="35">
        <v>2</v>
      </c>
      <c r="AD11" s="27">
        <f>IF(ISNUMBER(INDEX($A11:$AB11, MATCH(داشبرد!$D$5, $A$2:$AB$2, 0))), INDEX($A11:$AB11, MATCH(داشبرد!$D$5, $A$2:$AB$2, 0)), NA())</f>
        <v>40</v>
      </c>
    </row>
    <row r="12" spans="1:30" x14ac:dyDescent="0.3">
      <c r="A12" s="34">
        <v>21</v>
      </c>
      <c r="B12" s="30">
        <v>7</v>
      </c>
      <c r="C12" s="30">
        <v>7</v>
      </c>
      <c r="D12" s="30">
        <v>5</v>
      </c>
      <c r="E12" s="30">
        <v>15</v>
      </c>
      <c r="F12" s="31">
        <v>11</v>
      </c>
      <c r="G12" s="35">
        <v>39</v>
      </c>
      <c r="H12" s="34">
        <v>14</v>
      </c>
      <c r="I12" s="30">
        <v>3</v>
      </c>
      <c r="J12" s="30">
        <v>3</v>
      </c>
      <c r="K12" s="30">
        <v>3</v>
      </c>
      <c r="L12" s="30">
        <v>7</v>
      </c>
      <c r="M12" s="30">
        <v>3</v>
      </c>
      <c r="N12" s="38">
        <v>38</v>
      </c>
      <c r="O12" s="34">
        <v>2</v>
      </c>
      <c r="P12" s="30">
        <v>2</v>
      </c>
      <c r="Q12" s="30">
        <v>1</v>
      </c>
      <c r="R12" s="30">
        <v>0</v>
      </c>
      <c r="S12" s="30">
        <v>3</v>
      </c>
      <c r="T12" s="30">
        <v>5</v>
      </c>
      <c r="U12" s="38">
        <v>3</v>
      </c>
      <c r="V12" s="34">
        <v>5</v>
      </c>
      <c r="W12" s="30">
        <v>2</v>
      </c>
      <c r="X12" s="30">
        <v>3</v>
      </c>
      <c r="Y12" s="30">
        <v>2</v>
      </c>
      <c r="Z12" s="30">
        <v>5</v>
      </c>
      <c r="AA12" s="30">
        <v>3</v>
      </c>
      <c r="AB12" s="35">
        <v>1</v>
      </c>
      <c r="AD12" s="27">
        <f>IF(ISNUMBER(INDEX($A12:$AB12, MATCH(داشبرد!$D$5, $A$2:$AB$2, 0))), INDEX($A12:$AB12, MATCH(داشبرد!$D$5, $A$2:$AB$2, 0)), NA())</f>
        <v>39</v>
      </c>
    </row>
    <row r="13" spans="1:30" x14ac:dyDescent="0.3">
      <c r="A13" s="34"/>
      <c r="B13" s="30">
        <v>7</v>
      </c>
      <c r="C13" s="30">
        <v>6</v>
      </c>
      <c r="D13" s="30">
        <v>5</v>
      </c>
      <c r="E13" s="30">
        <v>14</v>
      </c>
      <c r="F13" s="31">
        <v>11</v>
      </c>
      <c r="G13" s="35">
        <v>40</v>
      </c>
      <c r="H13" s="34"/>
      <c r="I13" s="30">
        <v>3</v>
      </c>
      <c r="J13" s="30">
        <v>3</v>
      </c>
      <c r="K13" s="30">
        <v>3</v>
      </c>
      <c r="L13" s="30">
        <v>7</v>
      </c>
      <c r="M13" s="30">
        <v>3</v>
      </c>
      <c r="N13" s="38">
        <v>38</v>
      </c>
      <c r="O13" s="34"/>
      <c r="P13" s="30">
        <v>2</v>
      </c>
      <c r="Q13" s="30">
        <v>1</v>
      </c>
      <c r="R13" s="30">
        <v>0</v>
      </c>
      <c r="S13" s="30">
        <v>3</v>
      </c>
      <c r="T13" s="30">
        <v>5</v>
      </c>
      <c r="U13" s="38">
        <v>1</v>
      </c>
      <c r="V13" s="34"/>
      <c r="W13" s="30">
        <v>2</v>
      </c>
      <c r="X13" s="30">
        <v>2</v>
      </c>
      <c r="Y13" s="30">
        <v>2</v>
      </c>
      <c r="Z13" s="30">
        <v>4</v>
      </c>
      <c r="AA13" s="30">
        <v>3</v>
      </c>
      <c r="AB13" s="35">
        <v>2</v>
      </c>
      <c r="AD13" s="27">
        <f>IF(ISNUMBER(INDEX($A13:$AB13, MATCH(داشبرد!$D$5, $A$2:$AB$2, 0))), INDEX($A13:$AB13, MATCH(داشبرد!$D$5, $A$2:$AB$2, 0)), NA())</f>
        <v>40</v>
      </c>
    </row>
    <row r="14" spans="1:30" x14ac:dyDescent="0.3">
      <c r="A14" s="34"/>
      <c r="B14" s="30">
        <v>9</v>
      </c>
      <c r="C14" s="30">
        <v>7</v>
      </c>
      <c r="D14" s="30">
        <v>8</v>
      </c>
      <c r="E14" s="30"/>
      <c r="F14" s="31"/>
      <c r="G14" s="35">
        <v>183</v>
      </c>
      <c r="H14" s="34"/>
      <c r="I14" s="30">
        <v>3</v>
      </c>
      <c r="J14" s="30">
        <v>3</v>
      </c>
      <c r="K14" s="30">
        <v>5</v>
      </c>
      <c r="L14" s="30"/>
      <c r="M14" s="30"/>
      <c r="N14" s="38">
        <v>38</v>
      </c>
      <c r="O14" s="34"/>
      <c r="P14" s="30">
        <v>3</v>
      </c>
      <c r="Q14" s="30">
        <v>1</v>
      </c>
      <c r="R14" s="30">
        <v>0</v>
      </c>
      <c r="S14" s="30"/>
      <c r="T14" s="30"/>
      <c r="U14" s="38">
        <v>1</v>
      </c>
      <c r="V14" s="34"/>
      <c r="W14" s="30">
        <v>3</v>
      </c>
      <c r="X14" s="30">
        <v>3</v>
      </c>
      <c r="Y14" s="30">
        <v>3</v>
      </c>
      <c r="Z14" s="30"/>
      <c r="AA14" s="30"/>
      <c r="AB14" s="35">
        <v>2</v>
      </c>
      <c r="AD14" s="27">
        <f>IF(ISNUMBER(INDEX($A14:$AB14, MATCH(داشبرد!$D$5, $A$2:$AB$2, 0))), INDEX($A14:$AB14, MATCH(داشبرد!$D$5, $A$2:$AB$2, 0)), NA())</f>
        <v>183</v>
      </c>
    </row>
    <row r="15" spans="1:30" x14ac:dyDescent="0.3">
      <c r="A15" s="34"/>
      <c r="B15" s="30">
        <v>9</v>
      </c>
      <c r="C15" s="30">
        <v>15</v>
      </c>
      <c r="D15" s="30">
        <v>8</v>
      </c>
      <c r="E15" s="30"/>
      <c r="F15" s="31"/>
      <c r="G15" s="35">
        <v>183</v>
      </c>
      <c r="H15" s="34"/>
      <c r="I15" s="30">
        <v>3</v>
      </c>
      <c r="J15" s="30">
        <v>5</v>
      </c>
      <c r="K15" s="30">
        <v>5</v>
      </c>
      <c r="L15" s="30"/>
      <c r="M15" s="30"/>
      <c r="N15" s="38">
        <v>38</v>
      </c>
      <c r="O15" s="34"/>
      <c r="P15" s="30">
        <v>3</v>
      </c>
      <c r="Q15" s="30">
        <v>7</v>
      </c>
      <c r="R15" s="30">
        <v>0</v>
      </c>
      <c r="S15" s="30"/>
      <c r="T15" s="30"/>
      <c r="U15" s="38">
        <v>3</v>
      </c>
      <c r="V15" s="34"/>
      <c r="W15" s="30">
        <v>3</v>
      </c>
      <c r="X15" s="30">
        <v>3</v>
      </c>
      <c r="Y15" s="30">
        <v>3</v>
      </c>
      <c r="Z15" s="30"/>
      <c r="AA15" s="30"/>
      <c r="AB15" s="35">
        <v>2</v>
      </c>
      <c r="AD15" s="27">
        <f>IF(ISNUMBER(INDEX($A15:$AB15, MATCH(داشبرد!$D$5, $A$2:$AB$2, 0))), INDEX($A15:$AB15, MATCH(داشبرد!$D$5, $A$2:$AB$2, 0)), NA())</f>
        <v>183</v>
      </c>
    </row>
    <row r="16" spans="1:30" x14ac:dyDescent="0.3">
      <c r="A16" s="34"/>
      <c r="B16" s="30">
        <v>10</v>
      </c>
      <c r="C16" s="30">
        <v>14</v>
      </c>
      <c r="D16" s="30">
        <v>8</v>
      </c>
      <c r="E16" s="30"/>
      <c r="F16" s="31"/>
      <c r="G16" s="35">
        <v>182</v>
      </c>
      <c r="H16" s="34"/>
      <c r="I16" s="30">
        <v>3</v>
      </c>
      <c r="J16" s="30">
        <v>5</v>
      </c>
      <c r="K16" s="30">
        <v>5</v>
      </c>
      <c r="L16" s="30"/>
      <c r="M16" s="30"/>
      <c r="N16" s="38">
        <v>38</v>
      </c>
      <c r="O16" s="34"/>
      <c r="P16" s="30">
        <v>3</v>
      </c>
      <c r="Q16" s="30">
        <v>7</v>
      </c>
      <c r="R16" s="30">
        <v>0</v>
      </c>
      <c r="S16" s="30"/>
      <c r="T16" s="30"/>
      <c r="U16" s="38">
        <v>4</v>
      </c>
      <c r="V16" s="34"/>
      <c r="W16" s="30">
        <v>4</v>
      </c>
      <c r="X16" s="30">
        <v>2</v>
      </c>
      <c r="Y16" s="30">
        <v>3</v>
      </c>
      <c r="Z16" s="30"/>
      <c r="AA16" s="30"/>
      <c r="AB16" s="35">
        <v>1</v>
      </c>
      <c r="AD16" s="27">
        <f>IF(ISNUMBER(INDEX($A16:$AB16, MATCH(داشبرد!$D$5, $A$2:$AB$2, 0))), INDEX($A16:$AB16, MATCH(داشبرد!$D$5, $A$2:$AB$2, 0)), NA())</f>
        <v>182</v>
      </c>
    </row>
    <row r="17" spans="1:30" x14ac:dyDescent="0.3">
      <c r="A17" s="34"/>
      <c r="B17" s="30">
        <v>11</v>
      </c>
      <c r="C17" s="30">
        <v>9</v>
      </c>
      <c r="D17" s="30">
        <v>7</v>
      </c>
      <c r="E17" s="30"/>
      <c r="F17" s="31"/>
      <c r="G17" s="35">
        <v>8</v>
      </c>
      <c r="H17" s="34"/>
      <c r="I17" s="30">
        <v>8</v>
      </c>
      <c r="J17" s="30">
        <v>4</v>
      </c>
      <c r="K17" s="30">
        <v>5</v>
      </c>
      <c r="L17" s="30"/>
      <c r="M17" s="30"/>
      <c r="N17" s="38">
        <v>2</v>
      </c>
      <c r="O17" s="34"/>
      <c r="P17" s="30">
        <v>1</v>
      </c>
      <c r="Q17" s="30">
        <v>2</v>
      </c>
      <c r="R17" s="30">
        <v>0</v>
      </c>
      <c r="S17" s="30"/>
      <c r="T17" s="30"/>
      <c r="U17" s="38">
        <v>4</v>
      </c>
      <c r="V17" s="34"/>
      <c r="W17" s="30">
        <v>2</v>
      </c>
      <c r="X17" s="30">
        <v>3</v>
      </c>
      <c r="Y17" s="30">
        <v>2</v>
      </c>
      <c r="Z17" s="30"/>
      <c r="AA17" s="30"/>
      <c r="AB17" s="35">
        <v>4</v>
      </c>
      <c r="AD17" s="27">
        <f>IF(ISNUMBER(INDEX($A17:$AB17, MATCH(داشبرد!$D$5, $A$2:$AB$2, 0))), INDEX($A17:$AB17, MATCH(داشبرد!$D$5, $A$2:$AB$2, 0)), NA())</f>
        <v>8</v>
      </c>
    </row>
    <row r="18" spans="1:30" x14ac:dyDescent="0.3">
      <c r="A18" s="34"/>
      <c r="B18" s="30">
        <v>12</v>
      </c>
      <c r="C18" s="30">
        <v>9</v>
      </c>
      <c r="D18" s="30">
        <v>10</v>
      </c>
      <c r="E18" s="30"/>
      <c r="F18" s="31"/>
      <c r="G18" s="35">
        <v>7</v>
      </c>
      <c r="H18" s="34"/>
      <c r="I18" s="30">
        <v>8</v>
      </c>
      <c r="J18" s="30">
        <v>4</v>
      </c>
      <c r="K18" s="30">
        <v>5</v>
      </c>
      <c r="L18" s="30"/>
      <c r="M18" s="30"/>
      <c r="N18" s="38">
        <v>2</v>
      </c>
      <c r="O18" s="34"/>
      <c r="P18" s="30">
        <v>1</v>
      </c>
      <c r="Q18" s="30">
        <v>2</v>
      </c>
      <c r="R18" s="30">
        <v>2</v>
      </c>
      <c r="S18" s="30"/>
      <c r="T18" s="30"/>
      <c r="U18" s="38">
        <v>5</v>
      </c>
      <c r="V18" s="34"/>
      <c r="W18" s="30">
        <v>3</v>
      </c>
      <c r="X18" s="30">
        <v>3</v>
      </c>
      <c r="Y18" s="30">
        <v>3</v>
      </c>
      <c r="Z18" s="30"/>
      <c r="AA18" s="30"/>
      <c r="AB18" s="35">
        <v>3</v>
      </c>
      <c r="AD18" s="27">
        <f>IF(ISNUMBER(INDEX($A18:$AB18, MATCH(داشبرد!$D$5, $A$2:$AB$2, 0))), INDEX($A18:$AB18, MATCH(داشبرد!$D$5, $A$2:$AB$2, 0)), NA())</f>
        <v>7</v>
      </c>
    </row>
    <row r="19" spans="1:30" x14ac:dyDescent="0.3">
      <c r="A19" s="34"/>
      <c r="B19" s="30">
        <v>12</v>
      </c>
      <c r="C19" s="30">
        <v>9</v>
      </c>
      <c r="D19" s="30">
        <v>12</v>
      </c>
      <c r="E19" s="30"/>
      <c r="F19" s="31"/>
      <c r="G19" s="35">
        <v>6</v>
      </c>
      <c r="H19" s="34"/>
      <c r="I19" s="30">
        <v>8</v>
      </c>
      <c r="J19" s="30">
        <v>4</v>
      </c>
      <c r="K19" s="30">
        <v>5</v>
      </c>
      <c r="L19" s="30"/>
      <c r="M19" s="30"/>
      <c r="N19" s="38">
        <v>2</v>
      </c>
      <c r="O19" s="34"/>
      <c r="P19" s="30">
        <v>1</v>
      </c>
      <c r="Q19" s="30">
        <v>2</v>
      </c>
      <c r="R19" s="30">
        <v>3</v>
      </c>
      <c r="S19" s="30"/>
      <c r="T19" s="30"/>
      <c r="U19" s="38">
        <v>5</v>
      </c>
      <c r="V19" s="34"/>
      <c r="W19" s="30">
        <v>3</v>
      </c>
      <c r="X19" s="30">
        <v>3</v>
      </c>
      <c r="Y19" s="30">
        <v>4</v>
      </c>
      <c r="Z19" s="30"/>
      <c r="AA19" s="30"/>
      <c r="AB19" s="35">
        <v>2</v>
      </c>
      <c r="AD19" s="27">
        <f>IF(ISNUMBER(INDEX($A19:$AB19, MATCH(داشبرد!$D$5, $A$2:$AB$2, 0))), INDEX($A19:$AB19, MATCH(داشبرد!$D$5, $A$2:$AB$2, 0)), NA())</f>
        <v>6</v>
      </c>
    </row>
    <row r="20" spans="1:30" x14ac:dyDescent="0.3">
      <c r="A20" s="34"/>
      <c r="B20" s="30">
        <v>11</v>
      </c>
      <c r="C20" s="30">
        <v>8</v>
      </c>
      <c r="D20" s="30">
        <v>10</v>
      </c>
      <c r="E20" s="30"/>
      <c r="F20" s="31"/>
      <c r="G20" s="35">
        <v>6</v>
      </c>
      <c r="H20" s="34"/>
      <c r="I20" s="30">
        <v>2</v>
      </c>
      <c r="J20" s="30">
        <v>4</v>
      </c>
      <c r="K20" s="30">
        <v>5</v>
      </c>
      <c r="L20" s="30"/>
      <c r="M20" s="30"/>
      <c r="N20" s="38">
        <v>1</v>
      </c>
      <c r="O20" s="34"/>
      <c r="P20" s="30">
        <v>6</v>
      </c>
      <c r="Q20" s="30">
        <v>1</v>
      </c>
      <c r="R20" s="30">
        <v>3</v>
      </c>
      <c r="S20" s="30"/>
      <c r="T20" s="30"/>
      <c r="U20" s="38">
        <v>5</v>
      </c>
      <c r="V20" s="34"/>
      <c r="W20" s="30">
        <v>3</v>
      </c>
      <c r="X20" s="30">
        <v>3</v>
      </c>
      <c r="Y20" s="30">
        <v>2</v>
      </c>
      <c r="Z20" s="30"/>
      <c r="AA20" s="30"/>
      <c r="AB20" s="35">
        <v>1</v>
      </c>
      <c r="AD20" s="27">
        <f>IF(ISNUMBER(INDEX($A20:$AB20, MATCH(داشبرد!$D$5, $A$2:$AB$2, 0))), INDEX($A20:$AB20, MATCH(داشبرد!$D$5, $A$2:$AB$2, 0)), NA())</f>
        <v>6</v>
      </c>
    </row>
    <row r="21" spans="1:30" x14ac:dyDescent="0.3">
      <c r="A21" s="34"/>
      <c r="B21" s="30">
        <v>11</v>
      </c>
      <c r="C21" s="30">
        <v>8</v>
      </c>
      <c r="D21" s="30">
        <v>10</v>
      </c>
      <c r="E21" s="30"/>
      <c r="F21" s="31"/>
      <c r="G21" s="35">
        <v>9</v>
      </c>
      <c r="H21" s="34"/>
      <c r="I21" s="30">
        <v>2</v>
      </c>
      <c r="J21" s="30">
        <v>4</v>
      </c>
      <c r="K21" s="30">
        <v>5</v>
      </c>
      <c r="L21" s="30"/>
      <c r="M21" s="30"/>
      <c r="N21" s="38">
        <v>1</v>
      </c>
      <c r="O21" s="34"/>
      <c r="P21" s="30">
        <v>6</v>
      </c>
      <c r="Q21" s="30">
        <v>1</v>
      </c>
      <c r="R21" s="30">
        <v>3</v>
      </c>
      <c r="S21" s="30"/>
      <c r="T21" s="30"/>
      <c r="U21" s="38">
        <v>3</v>
      </c>
      <c r="V21" s="34"/>
      <c r="W21" s="30">
        <v>3</v>
      </c>
      <c r="X21" s="30">
        <v>3</v>
      </c>
      <c r="Y21" s="30">
        <v>2</v>
      </c>
      <c r="Z21" s="30"/>
      <c r="AA21" s="30"/>
      <c r="AB21" s="35">
        <v>5</v>
      </c>
      <c r="AD21" s="27">
        <f>IF(ISNUMBER(INDEX($A21:$AB21, MATCH(داشبرد!$D$5, $A$2:$AB$2, 0))), INDEX($A21:$AB21, MATCH(داشبرد!$D$5, $A$2:$AB$2, 0)), NA())</f>
        <v>9</v>
      </c>
    </row>
    <row r="22" spans="1:30" x14ac:dyDescent="0.3">
      <c r="A22" s="34"/>
      <c r="B22" s="30">
        <v>26</v>
      </c>
      <c r="C22" s="30">
        <v>8</v>
      </c>
      <c r="D22" s="30">
        <v>11</v>
      </c>
      <c r="E22" s="30"/>
      <c r="F22" s="31"/>
      <c r="G22" s="35">
        <v>6</v>
      </c>
      <c r="H22" s="34"/>
      <c r="I22" s="30">
        <v>15</v>
      </c>
      <c r="J22" s="30">
        <v>4</v>
      </c>
      <c r="K22" s="30">
        <v>5</v>
      </c>
      <c r="L22" s="30"/>
      <c r="M22" s="30"/>
      <c r="N22" s="38">
        <v>1</v>
      </c>
      <c r="O22" s="34"/>
      <c r="P22" s="30">
        <v>9</v>
      </c>
      <c r="Q22" s="30">
        <v>1</v>
      </c>
      <c r="R22" s="30">
        <v>4</v>
      </c>
      <c r="S22" s="30"/>
      <c r="T22" s="30"/>
      <c r="U22" s="38">
        <v>3</v>
      </c>
      <c r="V22" s="34"/>
      <c r="W22" s="30">
        <v>2</v>
      </c>
      <c r="X22" s="30">
        <v>3</v>
      </c>
      <c r="Y22" s="30">
        <v>2</v>
      </c>
      <c r="Z22" s="30"/>
      <c r="AA22" s="30"/>
      <c r="AB22" s="35">
        <v>2</v>
      </c>
      <c r="AD22" s="27">
        <f>IF(ISNUMBER(INDEX($A22:$AB22, MATCH(داشبرد!$D$5, $A$2:$AB$2, 0))), INDEX($A22:$AB22, MATCH(داشبرد!$D$5, $A$2:$AB$2, 0)), NA())</f>
        <v>6</v>
      </c>
    </row>
    <row r="23" spans="1:30" x14ac:dyDescent="0.3">
      <c r="A23" s="34"/>
      <c r="B23" s="30">
        <v>24</v>
      </c>
      <c r="C23" s="30">
        <v>8</v>
      </c>
      <c r="D23" s="30">
        <v>11</v>
      </c>
      <c r="E23" s="30"/>
      <c r="F23" s="31"/>
      <c r="G23" s="35">
        <v>8</v>
      </c>
      <c r="H23" s="34"/>
      <c r="I23" s="30">
        <v>15</v>
      </c>
      <c r="J23" s="30">
        <v>4</v>
      </c>
      <c r="K23" s="30">
        <v>5</v>
      </c>
      <c r="L23" s="30"/>
      <c r="M23" s="30"/>
      <c r="N23" s="38">
        <v>1</v>
      </c>
      <c r="O23" s="34"/>
      <c r="P23" s="30">
        <v>8</v>
      </c>
      <c r="Q23" s="30">
        <v>1</v>
      </c>
      <c r="R23" s="30">
        <v>4</v>
      </c>
      <c r="S23" s="30"/>
      <c r="T23" s="30"/>
      <c r="U23" s="38">
        <v>4</v>
      </c>
      <c r="V23" s="34"/>
      <c r="W23" s="30">
        <v>1</v>
      </c>
      <c r="X23" s="30">
        <v>3</v>
      </c>
      <c r="Y23" s="30">
        <v>2</v>
      </c>
      <c r="Z23" s="30"/>
      <c r="AA23" s="30"/>
      <c r="AB23" s="35">
        <v>4</v>
      </c>
      <c r="AD23" s="27">
        <f>IF(ISNUMBER(INDEX($A23:$AB23, MATCH(داشبرد!$D$5, $A$2:$AB$2, 0))), INDEX($A23:$AB23, MATCH(داشبرد!$D$5, $A$2:$AB$2, 0)), NA())</f>
        <v>8</v>
      </c>
    </row>
    <row r="24" spans="1:30" x14ac:dyDescent="0.3">
      <c r="A24" s="34"/>
      <c r="B24" s="30">
        <v>25</v>
      </c>
      <c r="C24" s="30">
        <v>8</v>
      </c>
      <c r="D24" s="30">
        <v>12</v>
      </c>
      <c r="E24" s="30"/>
      <c r="F24" s="31"/>
      <c r="G24" s="35">
        <v>8</v>
      </c>
      <c r="H24" s="34"/>
      <c r="I24" s="30">
        <v>15</v>
      </c>
      <c r="J24" s="30">
        <v>4</v>
      </c>
      <c r="K24" s="30">
        <v>5</v>
      </c>
      <c r="L24" s="30"/>
      <c r="M24" s="30"/>
      <c r="N24" s="38">
        <v>4</v>
      </c>
      <c r="O24" s="34"/>
      <c r="P24" s="30">
        <v>8</v>
      </c>
      <c r="Q24" s="30">
        <v>1</v>
      </c>
      <c r="R24" s="30">
        <v>5</v>
      </c>
      <c r="S24" s="30"/>
      <c r="T24" s="30"/>
      <c r="U24" s="38">
        <v>4</v>
      </c>
      <c r="V24" s="34"/>
      <c r="W24" s="30">
        <v>2</v>
      </c>
      <c r="X24" s="30">
        <v>3</v>
      </c>
      <c r="Y24" s="30">
        <v>2</v>
      </c>
      <c r="Z24" s="30"/>
      <c r="AA24" s="30"/>
      <c r="AB24" s="35">
        <v>3</v>
      </c>
      <c r="AD24" s="27">
        <f>IF(ISNUMBER(INDEX($A24:$AB24, MATCH(داشبرد!$D$5, $A$2:$AB$2, 0))), INDEX($A24:$AB24, MATCH(داشبرد!$D$5, $A$2:$AB$2, 0)), NA())</f>
        <v>8</v>
      </c>
    </row>
    <row r="25" spans="1:30" x14ac:dyDescent="0.3">
      <c r="A25" s="34"/>
      <c r="B25" s="30">
        <v>25</v>
      </c>
      <c r="C25" s="30">
        <v>6</v>
      </c>
      <c r="D25" s="30">
        <v>12</v>
      </c>
      <c r="E25" s="30"/>
      <c r="F25" s="31"/>
      <c r="G25" s="35">
        <v>7</v>
      </c>
      <c r="H25" s="34"/>
      <c r="I25" s="30">
        <v>15</v>
      </c>
      <c r="J25" s="30">
        <v>2</v>
      </c>
      <c r="K25" s="30">
        <v>5</v>
      </c>
      <c r="L25" s="30"/>
      <c r="M25" s="30"/>
      <c r="N25" s="38">
        <v>4</v>
      </c>
      <c r="O25" s="34"/>
      <c r="P25" s="30">
        <v>8</v>
      </c>
      <c r="Q25" s="30">
        <v>1</v>
      </c>
      <c r="R25" s="30">
        <v>5</v>
      </c>
      <c r="S25" s="30"/>
      <c r="T25" s="30"/>
      <c r="U25" s="38">
        <v>4</v>
      </c>
      <c r="V25" s="34"/>
      <c r="W25" s="30">
        <v>2</v>
      </c>
      <c r="X25" s="30">
        <v>3</v>
      </c>
      <c r="Y25" s="30">
        <v>2</v>
      </c>
      <c r="Z25" s="30"/>
      <c r="AA25" s="30"/>
      <c r="AB25" s="35">
        <v>2</v>
      </c>
      <c r="AD25" s="27">
        <f>IF(ISNUMBER(INDEX($A25:$AB25, MATCH(داشبرد!$D$5, $A$2:$AB$2, 0))), INDEX($A25:$AB25, MATCH(داشبرد!$D$5, $A$2:$AB$2, 0)), NA())</f>
        <v>7</v>
      </c>
    </row>
    <row r="26" spans="1:30" x14ac:dyDescent="0.3">
      <c r="A26" s="34"/>
      <c r="B26" s="30">
        <v>20</v>
      </c>
      <c r="C26" s="30">
        <v>6</v>
      </c>
      <c r="D26" s="30">
        <v>13</v>
      </c>
      <c r="E26" s="30"/>
      <c r="F26" s="31"/>
      <c r="G26" s="35">
        <v>6</v>
      </c>
      <c r="H26" s="34"/>
      <c r="I26" s="30">
        <v>11</v>
      </c>
      <c r="J26" s="30">
        <v>2</v>
      </c>
      <c r="K26" s="30">
        <v>5</v>
      </c>
      <c r="L26" s="30"/>
      <c r="M26" s="30"/>
      <c r="N26" s="38">
        <v>4</v>
      </c>
      <c r="O26" s="34"/>
      <c r="P26" s="30">
        <v>7</v>
      </c>
      <c r="Q26" s="30">
        <v>1</v>
      </c>
      <c r="R26" s="30">
        <v>5</v>
      </c>
      <c r="S26" s="30"/>
      <c r="T26" s="30"/>
      <c r="U26" s="38">
        <v>2</v>
      </c>
      <c r="V26" s="34"/>
      <c r="W26" s="30">
        <v>2</v>
      </c>
      <c r="X26" s="30">
        <v>3</v>
      </c>
      <c r="Y26" s="30">
        <v>3</v>
      </c>
      <c r="Z26" s="30"/>
      <c r="AA26" s="30"/>
      <c r="AB26" s="35">
        <v>1</v>
      </c>
      <c r="AD26" s="27">
        <f>IF(ISNUMBER(INDEX($A26:$AB26, MATCH(داشبرد!$D$5, $A$2:$AB$2, 0))), INDEX($A26:$AB26, MATCH(داشبرد!$D$5, $A$2:$AB$2, 0)), NA())</f>
        <v>6</v>
      </c>
    </row>
    <row r="27" spans="1:30" x14ac:dyDescent="0.3">
      <c r="A27" s="34"/>
      <c r="B27" s="30">
        <v>20</v>
      </c>
      <c r="C27" s="30">
        <v>11</v>
      </c>
      <c r="D27" s="30">
        <v>12</v>
      </c>
      <c r="E27" s="30"/>
      <c r="F27" s="31"/>
      <c r="G27" s="35">
        <v>7</v>
      </c>
      <c r="H27" s="34"/>
      <c r="I27" s="30">
        <v>11</v>
      </c>
      <c r="J27" s="30">
        <v>5</v>
      </c>
      <c r="K27" s="30">
        <v>5</v>
      </c>
      <c r="L27" s="30"/>
      <c r="M27" s="30"/>
      <c r="N27" s="38">
        <v>3</v>
      </c>
      <c r="O27" s="34"/>
      <c r="P27" s="30">
        <v>7</v>
      </c>
      <c r="Q27" s="30">
        <v>3</v>
      </c>
      <c r="R27" s="30">
        <v>3</v>
      </c>
      <c r="S27" s="30"/>
      <c r="T27" s="30"/>
      <c r="U27" s="38">
        <v>2</v>
      </c>
      <c r="V27" s="34"/>
      <c r="W27" s="30">
        <v>2</v>
      </c>
      <c r="X27" s="30">
        <v>3</v>
      </c>
      <c r="Y27" s="30">
        <v>4</v>
      </c>
      <c r="Z27" s="30"/>
      <c r="AA27" s="30"/>
      <c r="AB27" s="35">
        <v>3</v>
      </c>
      <c r="AD27" s="27">
        <f>IF(ISNUMBER(INDEX($A27:$AB27, MATCH(داشبرد!$D$5, $A$2:$AB$2, 0))), INDEX($A27:$AB27, MATCH(داشبرد!$D$5, $A$2:$AB$2, 0)), NA())</f>
        <v>7</v>
      </c>
    </row>
    <row r="28" spans="1:30" x14ac:dyDescent="0.3">
      <c r="A28" s="34"/>
      <c r="B28" s="30">
        <v>21</v>
      </c>
      <c r="C28" s="30">
        <v>11</v>
      </c>
      <c r="D28" s="30">
        <v>11</v>
      </c>
      <c r="E28" s="30"/>
      <c r="F28" s="31"/>
      <c r="G28" s="35">
        <v>6</v>
      </c>
      <c r="H28" s="34"/>
      <c r="I28" s="30">
        <v>11</v>
      </c>
      <c r="J28" s="30">
        <v>5</v>
      </c>
      <c r="K28" s="30">
        <v>5</v>
      </c>
      <c r="L28" s="30"/>
      <c r="M28" s="30"/>
      <c r="N28" s="38">
        <v>3</v>
      </c>
      <c r="O28" s="34"/>
      <c r="P28" s="30">
        <v>7</v>
      </c>
      <c r="Q28" s="30">
        <v>3</v>
      </c>
      <c r="R28" s="30">
        <v>3</v>
      </c>
      <c r="S28" s="30"/>
      <c r="T28" s="30"/>
      <c r="U28" s="38">
        <v>2</v>
      </c>
      <c r="V28" s="34"/>
      <c r="W28" s="30">
        <v>3</v>
      </c>
      <c r="X28" s="30">
        <v>3</v>
      </c>
      <c r="Y28" s="30">
        <v>3</v>
      </c>
      <c r="Z28" s="30"/>
      <c r="AA28" s="30"/>
      <c r="AB28" s="35">
        <v>2</v>
      </c>
      <c r="AD28" s="27">
        <f>IF(ISNUMBER(INDEX($A28:$AB28, MATCH(داشبرد!$D$5, $A$2:$AB$2, 0))), INDEX($A28:$AB28, MATCH(داشبرد!$D$5, $A$2:$AB$2, 0)), NA())</f>
        <v>6</v>
      </c>
    </row>
    <row r="29" spans="1:30" x14ac:dyDescent="0.3">
      <c r="A29" s="34"/>
      <c r="B29" s="30">
        <v>8</v>
      </c>
      <c r="C29" s="30">
        <v>11</v>
      </c>
      <c r="D29" s="30">
        <v>12</v>
      </c>
      <c r="E29" s="30"/>
      <c r="F29" s="31"/>
      <c r="G29" s="35">
        <v>7</v>
      </c>
      <c r="H29" s="34"/>
      <c r="I29" s="30">
        <v>7</v>
      </c>
      <c r="J29" s="30">
        <v>5</v>
      </c>
      <c r="K29" s="30">
        <v>5</v>
      </c>
      <c r="L29" s="30"/>
      <c r="M29" s="30"/>
      <c r="N29" s="38">
        <v>3</v>
      </c>
      <c r="O29" s="34"/>
      <c r="P29" s="30">
        <v>0</v>
      </c>
      <c r="Q29" s="30">
        <v>3</v>
      </c>
      <c r="R29" s="30">
        <v>4</v>
      </c>
      <c r="S29" s="30"/>
      <c r="T29" s="30"/>
      <c r="U29" s="38"/>
      <c r="V29" s="34"/>
      <c r="W29" s="30">
        <v>1</v>
      </c>
      <c r="X29" s="30">
        <v>3</v>
      </c>
      <c r="Y29" s="30">
        <v>3</v>
      </c>
      <c r="Z29" s="30"/>
      <c r="AA29" s="30"/>
      <c r="AB29" s="35">
        <v>3</v>
      </c>
      <c r="AD29" s="27">
        <f>IF(ISNUMBER(INDEX($A29:$AB29, MATCH(داشبرد!$D$5, $A$2:$AB$2, 0))), INDEX($A29:$AB29, MATCH(داشبرد!$D$5, $A$2:$AB$2, 0)), NA())</f>
        <v>7</v>
      </c>
    </row>
    <row r="30" spans="1:30" x14ac:dyDescent="0.3">
      <c r="A30" s="34"/>
      <c r="B30" s="30">
        <v>9</v>
      </c>
      <c r="C30" s="30">
        <v>11</v>
      </c>
      <c r="D30" s="30">
        <v>12</v>
      </c>
      <c r="E30" s="30"/>
      <c r="F30" s="31"/>
      <c r="G30" s="35">
        <v>15</v>
      </c>
      <c r="H30" s="34"/>
      <c r="I30" s="30">
        <v>7</v>
      </c>
      <c r="J30" s="30">
        <v>5</v>
      </c>
      <c r="K30" s="30">
        <v>5</v>
      </c>
      <c r="L30" s="30"/>
      <c r="M30" s="30"/>
      <c r="N30" s="38">
        <v>5</v>
      </c>
      <c r="O30" s="34"/>
      <c r="P30" s="30">
        <v>0</v>
      </c>
      <c r="Q30" s="30">
        <v>3</v>
      </c>
      <c r="R30" s="30">
        <v>4</v>
      </c>
      <c r="S30" s="30"/>
      <c r="T30" s="30"/>
      <c r="U30" s="38"/>
      <c r="V30" s="34"/>
      <c r="W30" s="30">
        <v>2</v>
      </c>
      <c r="X30" s="30">
        <v>3</v>
      </c>
      <c r="Y30" s="30">
        <v>3</v>
      </c>
      <c r="Z30" s="30"/>
      <c r="AA30" s="30"/>
      <c r="AB30" s="35">
        <v>3</v>
      </c>
      <c r="AD30" s="27">
        <f>IF(ISNUMBER(INDEX($A30:$AB30, MATCH(داشبرد!$D$5, $A$2:$AB$2, 0))), INDEX($A30:$AB30, MATCH(داشبرد!$D$5, $A$2:$AB$2, 0)), NA())</f>
        <v>15</v>
      </c>
    </row>
    <row r="31" spans="1:30" x14ac:dyDescent="0.3">
      <c r="A31" s="34"/>
      <c r="B31" s="30">
        <v>9</v>
      </c>
      <c r="C31" s="30">
        <v>10</v>
      </c>
      <c r="D31" s="30">
        <v>11</v>
      </c>
      <c r="E31" s="30"/>
      <c r="F31" s="31"/>
      <c r="G31" s="35">
        <v>14</v>
      </c>
      <c r="H31" s="34"/>
      <c r="I31" s="30">
        <v>7</v>
      </c>
      <c r="J31" s="30">
        <v>4</v>
      </c>
      <c r="K31" s="30">
        <v>5</v>
      </c>
      <c r="L31" s="30"/>
      <c r="M31" s="30"/>
      <c r="N31" s="38">
        <v>5</v>
      </c>
      <c r="O31" s="34"/>
      <c r="P31" s="30">
        <v>0</v>
      </c>
      <c r="Q31" s="30">
        <v>2</v>
      </c>
      <c r="R31" s="30">
        <v>4</v>
      </c>
      <c r="S31" s="30"/>
      <c r="T31" s="30"/>
      <c r="U31" s="38"/>
      <c r="V31" s="34"/>
      <c r="W31" s="30">
        <v>2</v>
      </c>
      <c r="X31" s="30">
        <v>4</v>
      </c>
      <c r="Y31" s="30">
        <v>2</v>
      </c>
      <c r="Z31" s="30"/>
      <c r="AA31" s="30"/>
      <c r="AB31" s="35">
        <v>2</v>
      </c>
      <c r="AD31" s="27">
        <f>IF(ISNUMBER(INDEX($A31:$AB31, MATCH(داشبرد!$D$5, $A$2:$AB$2, 0))), INDEX($A31:$AB31, MATCH(داشبرد!$D$5, $A$2:$AB$2, 0)), NA())</f>
        <v>14</v>
      </c>
    </row>
    <row r="32" spans="1:30" x14ac:dyDescent="0.3">
      <c r="A32" s="34"/>
      <c r="B32" s="30">
        <v>11</v>
      </c>
      <c r="C32" s="30">
        <v>10</v>
      </c>
      <c r="D32" s="30">
        <v>9</v>
      </c>
      <c r="E32" s="30"/>
      <c r="F32" s="31"/>
      <c r="G32" s="35">
        <v>8</v>
      </c>
      <c r="H32" s="34"/>
      <c r="I32" s="30">
        <v>6</v>
      </c>
      <c r="J32" s="30">
        <v>4</v>
      </c>
      <c r="K32" s="30">
        <v>5</v>
      </c>
      <c r="L32" s="30"/>
      <c r="M32" s="30"/>
      <c r="N32" s="38">
        <v>3</v>
      </c>
      <c r="O32" s="34"/>
      <c r="P32" s="30">
        <v>2</v>
      </c>
      <c r="Q32" s="30">
        <v>2</v>
      </c>
      <c r="R32" s="30">
        <v>2</v>
      </c>
      <c r="S32" s="30"/>
      <c r="T32" s="30"/>
      <c r="U32" s="38"/>
      <c r="V32" s="34"/>
      <c r="W32" s="30">
        <v>3</v>
      </c>
      <c r="X32" s="30">
        <v>4</v>
      </c>
      <c r="Y32" s="30">
        <v>2</v>
      </c>
      <c r="Z32" s="30"/>
      <c r="AA32" s="30"/>
      <c r="AB32" s="35">
        <v>2</v>
      </c>
      <c r="AD32" s="27">
        <f>IF(ISNUMBER(INDEX($A32:$AB32, MATCH(داشبرد!$D$5, $A$2:$AB$2, 0))), INDEX($A32:$AB32, MATCH(داشبرد!$D$5, $A$2:$AB$2, 0)), NA())</f>
        <v>8</v>
      </c>
    </row>
    <row r="33" spans="1:30" x14ac:dyDescent="0.3">
      <c r="A33" s="34"/>
      <c r="B33" s="30">
        <v>11</v>
      </c>
      <c r="C33" s="30">
        <v>7</v>
      </c>
      <c r="D33" s="30">
        <v>9</v>
      </c>
      <c r="E33" s="30"/>
      <c r="F33" s="31"/>
      <c r="G33" s="35">
        <v>7</v>
      </c>
      <c r="H33" s="34"/>
      <c r="I33" s="30">
        <v>6</v>
      </c>
      <c r="J33" s="30">
        <v>4</v>
      </c>
      <c r="K33" s="30">
        <v>5</v>
      </c>
      <c r="L33" s="30"/>
      <c r="M33" s="30"/>
      <c r="N33" s="38">
        <v>3</v>
      </c>
      <c r="O33" s="34"/>
      <c r="P33" s="30">
        <v>2</v>
      </c>
      <c r="Q33" s="30">
        <v>0</v>
      </c>
      <c r="R33" s="30">
        <v>2</v>
      </c>
      <c r="S33" s="30"/>
      <c r="T33" s="30"/>
      <c r="U33" s="38"/>
      <c r="V33" s="34"/>
      <c r="W33" s="30">
        <v>3</v>
      </c>
      <c r="X33" s="30">
        <v>3</v>
      </c>
      <c r="Y33" s="30">
        <v>2</v>
      </c>
      <c r="Z33" s="30"/>
      <c r="AA33" s="30"/>
      <c r="AB33" s="35">
        <v>2</v>
      </c>
      <c r="AD33" s="27">
        <f>IF(ISNUMBER(INDEX($A33:$AB33, MATCH(داشبرد!$D$5, $A$2:$AB$2, 0))), INDEX($A33:$AB33, MATCH(داشبرد!$D$5, $A$2:$AB$2, 0)), NA())</f>
        <v>7</v>
      </c>
    </row>
    <row r="34" spans="1:30" x14ac:dyDescent="0.3">
      <c r="A34" s="34"/>
      <c r="B34" s="30">
        <v>12</v>
      </c>
      <c r="C34" s="30">
        <v>7</v>
      </c>
      <c r="D34" s="30">
        <v>10</v>
      </c>
      <c r="E34" s="30"/>
      <c r="F34" s="31"/>
      <c r="G34" s="35">
        <v>7</v>
      </c>
      <c r="H34" s="34"/>
      <c r="I34" s="30">
        <v>6</v>
      </c>
      <c r="J34" s="30">
        <v>4</v>
      </c>
      <c r="K34" s="30">
        <v>5</v>
      </c>
      <c r="L34" s="30"/>
      <c r="M34" s="30"/>
      <c r="N34" s="38">
        <v>3</v>
      </c>
      <c r="O34" s="34"/>
      <c r="P34" s="30">
        <v>2</v>
      </c>
      <c r="Q34" s="30">
        <v>0</v>
      </c>
      <c r="R34" s="30">
        <v>2</v>
      </c>
      <c r="S34" s="30"/>
      <c r="T34" s="30"/>
      <c r="U34" s="38"/>
      <c r="V34" s="34"/>
      <c r="W34" s="30">
        <v>4</v>
      </c>
      <c r="X34" s="30">
        <v>3</v>
      </c>
      <c r="Y34" s="30">
        <v>3</v>
      </c>
      <c r="Z34" s="30"/>
      <c r="AA34" s="30"/>
      <c r="AB34" s="35">
        <v>2</v>
      </c>
      <c r="AD34" s="27">
        <f>IF(ISNUMBER(INDEX($A34:$AB34, MATCH(داشبرد!$D$5, $A$2:$AB$2, 0))), INDEX($A34:$AB34, MATCH(داشبرد!$D$5, $A$2:$AB$2, 0)), NA())</f>
        <v>7</v>
      </c>
    </row>
    <row r="35" spans="1:30" x14ac:dyDescent="0.3">
      <c r="A35" s="34"/>
      <c r="B35" s="30">
        <v>7</v>
      </c>
      <c r="C35" s="30">
        <v>7</v>
      </c>
      <c r="D35" s="30"/>
      <c r="E35" s="30"/>
      <c r="F35" s="31"/>
      <c r="G35" s="35">
        <v>9</v>
      </c>
      <c r="H35" s="34"/>
      <c r="I35" s="30">
        <v>4</v>
      </c>
      <c r="J35" s="30">
        <v>4</v>
      </c>
      <c r="K35" s="30"/>
      <c r="L35" s="30"/>
      <c r="M35" s="30"/>
      <c r="N35" s="38">
        <v>3</v>
      </c>
      <c r="O35" s="34"/>
      <c r="P35" s="30">
        <v>1</v>
      </c>
      <c r="Q35" s="30">
        <v>0</v>
      </c>
      <c r="R35" s="30"/>
      <c r="S35" s="30"/>
      <c r="T35" s="30"/>
      <c r="U35" s="38"/>
      <c r="V35" s="34"/>
      <c r="W35" s="30">
        <v>2</v>
      </c>
      <c r="X35" s="30">
        <v>3</v>
      </c>
      <c r="Y35" s="30"/>
      <c r="Z35" s="30"/>
      <c r="AA35" s="30"/>
      <c r="AB35" s="35">
        <v>3</v>
      </c>
      <c r="AD35" s="27">
        <f>IF(ISNUMBER(INDEX($A35:$AB35, MATCH(داشبرد!$D$5, $A$2:$AB$2, 0))), INDEX($A35:$AB35, MATCH(داشبرد!$D$5, $A$2:$AB$2, 0)), NA())</f>
        <v>9</v>
      </c>
    </row>
    <row r="36" spans="1:30" x14ac:dyDescent="0.3">
      <c r="A36" s="34"/>
      <c r="B36" s="30">
        <v>7</v>
      </c>
      <c r="C36" s="30">
        <v>7</v>
      </c>
      <c r="D36" s="30"/>
      <c r="E36" s="30"/>
      <c r="F36" s="31"/>
      <c r="G36" s="35">
        <v>9</v>
      </c>
      <c r="H36" s="34"/>
      <c r="I36" s="30">
        <v>4</v>
      </c>
      <c r="J36" s="30">
        <v>3</v>
      </c>
      <c r="K36" s="30"/>
      <c r="L36" s="30"/>
      <c r="M36" s="30"/>
      <c r="N36" s="38">
        <v>3</v>
      </c>
      <c r="O36" s="34"/>
      <c r="P36" s="30">
        <v>1</v>
      </c>
      <c r="Q36" s="30">
        <v>2</v>
      </c>
      <c r="R36" s="30"/>
      <c r="S36" s="30"/>
      <c r="T36" s="30"/>
      <c r="U36" s="38"/>
      <c r="V36" s="34"/>
      <c r="W36" s="30">
        <v>2</v>
      </c>
      <c r="X36" s="30">
        <v>2</v>
      </c>
      <c r="Y36" s="30"/>
      <c r="Z36" s="30"/>
      <c r="AA36" s="30"/>
      <c r="AB36" s="35">
        <v>3</v>
      </c>
      <c r="AD36" s="27">
        <f>IF(ISNUMBER(INDEX($A36:$AB36, MATCH(داشبرد!$D$5, $A$2:$AB$2, 0))), INDEX($A36:$AB36, MATCH(داشبرد!$D$5, $A$2:$AB$2, 0)), NA())</f>
        <v>9</v>
      </c>
    </row>
    <row r="37" spans="1:30" x14ac:dyDescent="0.3">
      <c r="A37" s="34"/>
      <c r="B37" s="30">
        <v>6</v>
      </c>
      <c r="C37" s="30">
        <v>7</v>
      </c>
      <c r="D37" s="30"/>
      <c r="E37" s="30"/>
      <c r="F37" s="31"/>
      <c r="G37" s="35">
        <v>10</v>
      </c>
      <c r="H37" s="34"/>
      <c r="I37" s="30">
        <v>4</v>
      </c>
      <c r="J37" s="30">
        <v>3</v>
      </c>
      <c r="K37" s="30"/>
      <c r="L37" s="30"/>
      <c r="M37" s="30"/>
      <c r="N37" s="38">
        <v>3</v>
      </c>
      <c r="O37" s="34"/>
      <c r="P37" s="30">
        <v>1</v>
      </c>
      <c r="Q37" s="30">
        <v>2</v>
      </c>
      <c r="R37" s="30"/>
      <c r="S37" s="30"/>
      <c r="T37" s="30"/>
      <c r="U37" s="38"/>
      <c r="V37" s="34"/>
      <c r="W37" s="30">
        <v>1</v>
      </c>
      <c r="X37" s="30">
        <v>2</v>
      </c>
      <c r="Y37" s="30"/>
      <c r="Z37" s="30"/>
      <c r="AA37" s="30"/>
      <c r="AB37" s="35">
        <v>4</v>
      </c>
      <c r="AD37" s="27">
        <f>IF(ISNUMBER(INDEX($A37:$AB37, MATCH(داشبرد!$D$5, $A$2:$AB$2, 0))), INDEX($A37:$AB37, MATCH(داشبرد!$D$5, $A$2:$AB$2, 0)), NA())</f>
        <v>10</v>
      </c>
    </row>
    <row r="38" spans="1:30" x14ac:dyDescent="0.3">
      <c r="A38" s="34"/>
      <c r="B38" s="30">
        <v>8</v>
      </c>
      <c r="C38" s="30">
        <v>7</v>
      </c>
      <c r="D38" s="30"/>
      <c r="E38" s="30"/>
      <c r="F38" s="31"/>
      <c r="G38" s="35">
        <v>11</v>
      </c>
      <c r="H38" s="34"/>
      <c r="I38" s="30">
        <v>3</v>
      </c>
      <c r="J38" s="30">
        <v>3</v>
      </c>
      <c r="K38" s="30"/>
      <c r="L38" s="30"/>
      <c r="M38" s="30"/>
      <c r="N38" s="38">
        <v>8</v>
      </c>
      <c r="O38" s="34"/>
      <c r="P38" s="30">
        <v>1</v>
      </c>
      <c r="Q38" s="30">
        <v>2</v>
      </c>
      <c r="R38" s="30"/>
      <c r="S38" s="30"/>
      <c r="T38" s="30"/>
      <c r="U38" s="38"/>
      <c r="V38" s="34"/>
      <c r="W38" s="30">
        <v>4</v>
      </c>
      <c r="X38" s="30">
        <v>2</v>
      </c>
      <c r="Y38" s="30"/>
      <c r="Z38" s="30"/>
      <c r="AA38" s="30"/>
      <c r="AB38" s="35">
        <v>2</v>
      </c>
      <c r="AD38" s="27">
        <f>IF(ISNUMBER(INDEX($A38:$AB38, MATCH(داشبرد!$D$5, $A$2:$AB$2, 0))), INDEX($A38:$AB38, MATCH(داشبرد!$D$5, $A$2:$AB$2, 0)), NA())</f>
        <v>11</v>
      </c>
    </row>
    <row r="39" spans="1:30" x14ac:dyDescent="0.3">
      <c r="A39" s="34"/>
      <c r="B39" s="30">
        <v>9</v>
      </c>
      <c r="C39" s="30">
        <v>9</v>
      </c>
      <c r="D39" s="30"/>
      <c r="E39" s="30"/>
      <c r="F39" s="31"/>
      <c r="G39" s="35">
        <v>12</v>
      </c>
      <c r="H39" s="34"/>
      <c r="I39" s="30">
        <v>3</v>
      </c>
      <c r="J39" s="30">
        <v>3</v>
      </c>
      <c r="K39" s="30"/>
      <c r="L39" s="30"/>
      <c r="M39" s="30"/>
      <c r="N39" s="38">
        <v>8</v>
      </c>
      <c r="O39" s="34"/>
      <c r="P39" s="30">
        <v>1</v>
      </c>
      <c r="Q39" s="30">
        <v>2</v>
      </c>
      <c r="R39" s="30"/>
      <c r="S39" s="30"/>
      <c r="T39" s="30"/>
      <c r="U39" s="38"/>
      <c r="V39" s="34"/>
      <c r="W39" s="30">
        <v>5</v>
      </c>
      <c r="X39" s="30">
        <v>4</v>
      </c>
      <c r="Y39" s="30"/>
      <c r="Z39" s="30"/>
      <c r="AA39" s="30"/>
      <c r="AB39" s="35">
        <v>3</v>
      </c>
      <c r="AD39" s="27">
        <f>IF(ISNUMBER(INDEX($A39:$AB39, MATCH(داشبرد!$D$5, $A$2:$AB$2, 0))), INDEX($A39:$AB39, MATCH(داشبرد!$D$5, $A$2:$AB$2, 0)), NA())</f>
        <v>12</v>
      </c>
    </row>
    <row r="40" spans="1:30" x14ac:dyDescent="0.3">
      <c r="A40" s="34"/>
      <c r="B40" s="30"/>
      <c r="C40" s="30">
        <v>8</v>
      </c>
      <c r="D40" s="30"/>
      <c r="E40" s="30"/>
      <c r="F40" s="31"/>
      <c r="G40" s="35">
        <v>12</v>
      </c>
      <c r="H40" s="34"/>
      <c r="I40" s="30"/>
      <c r="J40" s="30">
        <v>3</v>
      </c>
      <c r="K40" s="30"/>
      <c r="L40" s="30"/>
      <c r="M40" s="30"/>
      <c r="N40" s="38">
        <v>8</v>
      </c>
      <c r="O40" s="34"/>
      <c r="P40" s="30"/>
      <c r="Q40" s="30">
        <v>1</v>
      </c>
      <c r="R40" s="30"/>
      <c r="S40" s="30"/>
      <c r="T40" s="30"/>
      <c r="U40" s="38"/>
      <c r="V40" s="34"/>
      <c r="W40" s="30"/>
      <c r="X40" s="30">
        <v>4</v>
      </c>
      <c r="Y40" s="30"/>
      <c r="Z40" s="30"/>
      <c r="AA40" s="30"/>
      <c r="AB40" s="35">
        <v>3</v>
      </c>
      <c r="AD40" s="27">
        <f>IF(ISNUMBER(INDEX($A40:$AB40, MATCH(داشبرد!$D$5, $A$2:$AB$2, 0))), INDEX($A40:$AB40, MATCH(داشبرد!$D$5, $A$2:$AB$2, 0)), NA())</f>
        <v>12</v>
      </c>
    </row>
    <row r="41" spans="1:30" x14ac:dyDescent="0.3">
      <c r="A41" s="34"/>
      <c r="B41" s="30"/>
      <c r="C41" s="30">
        <v>9</v>
      </c>
      <c r="D41" s="30"/>
      <c r="E41" s="30"/>
      <c r="F41" s="31"/>
      <c r="G41" s="35">
        <v>9</v>
      </c>
      <c r="H41" s="34"/>
      <c r="I41" s="30"/>
      <c r="J41" s="30">
        <v>3</v>
      </c>
      <c r="K41" s="30"/>
      <c r="L41" s="30"/>
      <c r="M41" s="30"/>
      <c r="N41" s="38">
        <v>4</v>
      </c>
      <c r="O41" s="34"/>
      <c r="P41" s="30"/>
      <c r="Q41" s="30">
        <v>1</v>
      </c>
      <c r="R41" s="30"/>
      <c r="S41" s="30"/>
      <c r="T41" s="30"/>
      <c r="U41" s="38"/>
      <c r="V41" s="34"/>
      <c r="W41" s="30"/>
      <c r="X41" s="30">
        <v>5</v>
      </c>
      <c r="Y41" s="30"/>
      <c r="Z41" s="30"/>
      <c r="AA41" s="30"/>
      <c r="AB41" s="35">
        <v>3</v>
      </c>
      <c r="AD41" s="27">
        <f>IF(ISNUMBER(INDEX($A41:$AB41, MATCH(داشبرد!$D$5, $A$2:$AB$2, 0))), INDEX($A41:$AB41, MATCH(داشبرد!$D$5, $A$2:$AB$2, 0)), NA())</f>
        <v>9</v>
      </c>
    </row>
    <row r="42" spans="1:30" x14ac:dyDescent="0.3">
      <c r="A42" s="34"/>
      <c r="B42" s="30"/>
      <c r="C42" s="30">
        <v>11</v>
      </c>
      <c r="D42" s="30"/>
      <c r="E42" s="30"/>
      <c r="F42" s="31"/>
      <c r="G42" s="35">
        <v>9</v>
      </c>
      <c r="H42" s="34"/>
      <c r="I42" s="30"/>
      <c r="J42" s="30">
        <v>5</v>
      </c>
      <c r="K42" s="30"/>
      <c r="L42" s="30"/>
      <c r="M42" s="30"/>
      <c r="N42" s="38">
        <v>4</v>
      </c>
      <c r="O42" s="34"/>
      <c r="P42" s="30"/>
      <c r="Q42" s="30">
        <v>2</v>
      </c>
      <c r="R42" s="30"/>
      <c r="S42" s="30"/>
      <c r="T42" s="30"/>
      <c r="U42" s="38"/>
      <c r="V42" s="34"/>
      <c r="W42" s="30"/>
      <c r="X42" s="30">
        <v>4</v>
      </c>
      <c r="Y42" s="30"/>
      <c r="Z42" s="30"/>
      <c r="AA42" s="30"/>
      <c r="AB42" s="35">
        <v>3</v>
      </c>
      <c r="AD42" s="27">
        <f>IF(ISNUMBER(INDEX($A42:$AB42, MATCH(داشبرد!$D$5, $A$2:$AB$2, 0))), INDEX($A42:$AB42, MATCH(داشبرد!$D$5, $A$2:$AB$2, 0)), NA())</f>
        <v>9</v>
      </c>
    </row>
    <row r="43" spans="1:30" x14ac:dyDescent="0.3">
      <c r="A43" s="34"/>
      <c r="B43" s="30"/>
      <c r="C43" s="30">
        <v>12</v>
      </c>
      <c r="D43" s="30"/>
      <c r="E43" s="30"/>
      <c r="F43" s="31"/>
      <c r="G43" s="35">
        <v>9</v>
      </c>
      <c r="H43" s="34"/>
      <c r="I43" s="30"/>
      <c r="J43" s="30">
        <v>5</v>
      </c>
      <c r="K43" s="30"/>
      <c r="L43" s="30"/>
      <c r="M43" s="30"/>
      <c r="N43" s="38">
        <v>4</v>
      </c>
      <c r="O43" s="34"/>
      <c r="P43" s="30"/>
      <c r="Q43" s="30">
        <v>2</v>
      </c>
      <c r="R43" s="30"/>
      <c r="S43" s="30"/>
      <c r="T43" s="30"/>
      <c r="U43" s="38"/>
      <c r="V43" s="34"/>
      <c r="W43" s="30"/>
      <c r="X43" s="30">
        <v>5</v>
      </c>
      <c r="Y43" s="30"/>
      <c r="Z43" s="30"/>
      <c r="AA43" s="30"/>
      <c r="AB43" s="35">
        <v>3</v>
      </c>
      <c r="AD43" s="27">
        <f>IF(ISNUMBER(INDEX($A43:$AB43, MATCH(داشبرد!$D$5, $A$2:$AB$2, 0))), INDEX($A43:$AB43, MATCH(داشبرد!$D$5, $A$2:$AB$2, 0)), NA())</f>
        <v>9</v>
      </c>
    </row>
    <row r="44" spans="1:30" x14ac:dyDescent="0.3">
      <c r="A44" s="34"/>
      <c r="B44" s="30"/>
      <c r="C44" s="30">
        <v>9</v>
      </c>
      <c r="D44" s="30"/>
      <c r="E44" s="30"/>
      <c r="F44" s="31"/>
      <c r="G44" s="35">
        <v>8</v>
      </c>
      <c r="H44" s="34"/>
      <c r="I44" s="30"/>
      <c r="J44" s="30">
        <v>4</v>
      </c>
      <c r="K44" s="30"/>
      <c r="L44" s="30"/>
      <c r="M44" s="30"/>
      <c r="N44" s="38">
        <v>4</v>
      </c>
      <c r="O44" s="34"/>
      <c r="P44" s="30"/>
      <c r="Q44" s="30">
        <v>0</v>
      </c>
      <c r="R44" s="30"/>
      <c r="S44" s="30"/>
      <c r="T44" s="30"/>
      <c r="U44" s="38"/>
      <c r="V44" s="34"/>
      <c r="W44" s="30"/>
      <c r="X44" s="30">
        <v>5</v>
      </c>
      <c r="Y44" s="30"/>
      <c r="Z44" s="30"/>
      <c r="AA44" s="30"/>
      <c r="AB44" s="35">
        <v>3</v>
      </c>
      <c r="AD44" s="27">
        <f>IF(ISNUMBER(INDEX($A44:$AB44, MATCH(داشبرد!$D$5, $A$2:$AB$2, 0))), INDEX($A44:$AB44, MATCH(داشبرد!$D$5, $A$2:$AB$2, 0)), NA())</f>
        <v>8</v>
      </c>
    </row>
    <row r="45" spans="1:30" x14ac:dyDescent="0.3">
      <c r="A45" s="34"/>
      <c r="B45" s="30"/>
      <c r="C45" s="30">
        <v>6</v>
      </c>
      <c r="D45" s="30"/>
      <c r="E45" s="30"/>
      <c r="F45" s="31"/>
      <c r="G45" s="35">
        <v>8</v>
      </c>
      <c r="H45" s="34"/>
      <c r="I45" s="30"/>
      <c r="J45" s="30">
        <v>4</v>
      </c>
      <c r="K45" s="30"/>
      <c r="L45" s="30"/>
      <c r="M45" s="30"/>
      <c r="N45" s="38">
        <v>4</v>
      </c>
      <c r="O45" s="34"/>
      <c r="P45" s="30"/>
      <c r="Q45" s="30">
        <v>0</v>
      </c>
      <c r="R45" s="30"/>
      <c r="S45" s="30"/>
      <c r="T45" s="30"/>
      <c r="U45" s="38"/>
      <c r="V45" s="34"/>
      <c r="W45" s="30"/>
      <c r="X45" s="30">
        <v>2</v>
      </c>
      <c r="Y45" s="30"/>
      <c r="Z45" s="30"/>
      <c r="AA45" s="30"/>
      <c r="AB45" s="35">
        <v>3</v>
      </c>
      <c r="AD45" s="27">
        <f>IF(ISNUMBER(INDEX($A45:$AB45, MATCH(داشبرد!$D$5, $A$2:$AB$2, 0))), INDEX($A45:$AB45, MATCH(داشبرد!$D$5, $A$2:$AB$2, 0)), NA())</f>
        <v>8</v>
      </c>
    </row>
    <row r="46" spans="1:30" x14ac:dyDescent="0.3">
      <c r="A46" s="34"/>
      <c r="B46" s="30"/>
      <c r="C46" s="30">
        <v>8</v>
      </c>
      <c r="D46" s="30"/>
      <c r="E46" s="30"/>
      <c r="F46" s="31"/>
      <c r="G46" s="35">
        <v>8</v>
      </c>
      <c r="H46" s="34"/>
      <c r="I46" s="30"/>
      <c r="J46" s="30">
        <v>4</v>
      </c>
      <c r="K46" s="30"/>
      <c r="L46" s="30"/>
      <c r="M46" s="30"/>
      <c r="N46" s="38">
        <v>4</v>
      </c>
      <c r="O46" s="34"/>
      <c r="P46" s="30"/>
      <c r="Q46" s="30">
        <v>0</v>
      </c>
      <c r="R46" s="30"/>
      <c r="S46" s="30"/>
      <c r="T46" s="30"/>
      <c r="U46" s="38"/>
      <c r="V46" s="34"/>
      <c r="W46" s="30"/>
      <c r="X46" s="30">
        <v>4</v>
      </c>
      <c r="Y46" s="30"/>
      <c r="Z46" s="30"/>
      <c r="AA46" s="30"/>
      <c r="AB46" s="35">
        <v>3</v>
      </c>
      <c r="AD46" s="27">
        <f>IF(ISNUMBER(INDEX($A46:$AB46, MATCH(داشبرد!$D$5, $A$2:$AB$2, 0))), INDEX($A46:$AB46, MATCH(داشبرد!$D$5, $A$2:$AB$2, 0)), NA())</f>
        <v>8</v>
      </c>
    </row>
    <row r="47" spans="1:30" x14ac:dyDescent="0.3">
      <c r="A47" s="34"/>
      <c r="B47" s="30"/>
      <c r="C47" s="30">
        <v>7</v>
      </c>
      <c r="D47" s="30"/>
      <c r="E47" s="30"/>
      <c r="F47" s="31"/>
      <c r="G47" s="35">
        <v>8</v>
      </c>
      <c r="H47" s="34"/>
      <c r="I47" s="30"/>
      <c r="J47" s="30">
        <v>4</v>
      </c>
      <c r="K47" s="30"/>
      <c r="L47" s="30"/>
      <c r="M47" s="30"/>
      <c r="N47" s="38">
        <v>4</v>
      </c>
      <c r="O47" s="34"/>
      <c r="P47" s="30"/>
      <c r="Q47" s="30">
        <v>1</v>
      </c>
      <c r="R47" s="30"/>
      <c r="S47" s="30"/>
      <c r="T47" s="30"/>
      <c r="U47" s="38"/>
      <c r="V47" s="34"/>
      <c r="W47" s="30"/>
      <c r="X47" s="30">
        <v>2</v>
      </c>
      <c r="Y47" s="30"/>
      <c r="Z47" s="30"/>
      <c r="AA47" s="30"/>
      <c r="AB47" s="35">
        <v>3</v>
      </c>
      <c r="AD47" s="27">
        <f>IF(ISNUMBER(INDEX($A47:$AB47, MATCH(داشبرد!$D$5, $A$2:$AB$2, 0))), INDEX($A47:$AB47, MATCH(داشبرد!$D$5, $A$2:$AB$2, 0)), NA())</f>
        <v>8</v>
      </c>
    </row>
    <row r="48" spans="1:30" x14ac:dyDescent="0.3">
      <c r="A48" s="34"/>
      <c r="B48" s="30"/>
      <c r="C48" s="30">
        <v>7</v>
      </c>
      <c r="D48" s="30"/>
      <c r="E48" s="30"/>
      <c r="F48" s="31"/>
      <c r="G48" s="35">
        <v>8</v>
      </c>
      <c r="H48" s="34"/>
      <c r="I48" s="30"/>
      <c r="J48" s="30">
        <v>4</v>
      </c>
      <c r="K48" s="30"/>
      <c r="L48" s="30"/>
      <c r="M48" s="30"/>
      <c r="N48" s="38">
        <v>4</v>
      </c>
      <c r="O48" s="34"/>
      <c r="P48" s="30"/>
      <c r="Q48" s="30">
        <v>1</v>
      </c>
      <c r="R48" s="30"/>
      <c r="S48" s="30"/>
      <c r="T48" s="30"/>
      <c r="U48" s="38"/>
      <c r="V48" s="34"/>
      <c r="W48" s="30"/>
      <c r="X48" s="30">
        <v>2</v>
      </c>
      <c r="Y48" s="30"/>
      <c r="Z48" s="30"/>
      <c r="AA48" s="30"/>
      <c r="AB48" s="35">
        <v>3</v>
      </c>
      <c r="AD48" s="27">
        <f>IF(ISNUMBER(INDEX($A48:$AB48, MATCH(داشبرد!$D$5, $A$2:$AB$2, 0))), INDEX($A48:$AB48, MATCH(داشبرد!$D$5, $A$2:$AB$2, 0)), NA())</f>
        <v>8</v>
      </c>
    </row>
    <row r="49" spans="1:30" x14ac:dyDescent="0.3">
      <c r="A49" s="34"/>
      <c r="B49" s="30"/>
      <c r="C49" s="30">
        <v>15</v>
      </c>
      <c r="D49" s="30"/>
      <c r="E49" s="30"/>
      <c r="F49" s="31"/>
      <c r="G49" s="35">
        <v>6</v>
      </c>
      <c r="H49" s="34"/>
      <c r="I49" s="30"/>
      <c r="J49" s="30">
        <v>2</v>
      </c>
      <c r="K49" s="30"/>
      <c r="L49" s="30"/>
      <c r="M49" s="30"/>
      <c r="N49" s="38">
        <v>2</v>
      </c>
      <c r="O49" s="34"/>
      <c r="P49" s="30"/>
      <c r="Q49" s="30">
        <v>9</v>
      </c>
      <c r="R49" s="30"/>
      <c r="S49" s="30"/>
      <c r="T49" s="30"/>
      <c r="U49" s="38"/>
      <c r="V49" s="34"/>
      <c r="W49" s="30"/>
      <c r="X49" s="30">
        <v>4</v>
      </c>
      <c r="Y49" s="30"/>
      <c r="Z49" s="30"/>
      <c r="AA49" s="30"/>
      <c r="AB49" s="35">
        <v>3</v>
      </c>
      <c r="AD49" s="27">
        <f>IF(ISNUMBER(INDEX($A49:$AB49, MATCH(داشبرد!$D$5, $A$2:$AB$2, 0))), INDEX($A49:$AB49, MATCH(داشبرد!$D$5, $A$2:$AB$2, 0)), NA())</f>
        <v>6</v>
      </c>
    </row>
    <row r="50" spans="1:30" x14ac:dyDescent="0.3">
      <c r="A50" s="34"/>
      <c r="B50" s="30"/>
      <c r="C50" s="30">
        <v>13</v>
      </c>
      <c r="D50" s="30"/>
      <c r="E50" s="30"/>
      <c r="F50" s="31"/>
      <c r="G50" s="35">
        <v>6</v>
      </c>
      <c r="H50" s="34"/>
      <c r="I50" s="30"/>
      <c r="J50" s="30">
        <v>2</v>
      </c>
      <c r="K50" s="30"/>
      <c r="L50" s="30"/>
      <c r="M50" s="30"/>
      <c r="N50" s="38">
        <v>2</v>
      </c>
      <c r="O50" s="34"/>
      <c r="P50" s="30"/>
      <c r="Q50" s="30">
        <v>9</v>
      </c>
      <c r="R50" s="30"/>
      <c r="S50" s="30"/>
      <c r="T50" s="30"/>
      <c r="U50" s="38"/>
      <c r="V50" s="34"/>
      <c r="W50" s="30"/>
      <c r="X50" s="30">
        <v>2</v>
      </c>
      <c r="Y50" s="30"/>
      <c r="Z50" s="30"/>
      <c r="AA50" s="30"/>
      <c r="AB50" s="35">
        <v>3</v>
      </c>
      <c r="AD50" s="27">
        <f>IF(ISNUMBER(INDEX($A50:$AB50, MATCH(داشبرد!$D$5, $A$2:$AB$2, 0))), INDEX($A50:$AB50, MATCH(داشبرد!$D$5, $A$2:$AB$2, 0)), NA())</f>
        <v>6</v>
      </c>
    </row>
    <row r="51" spans="1:30" x14ac:dyDescent="0.3">
      <c r="A51" s="34"/>
      <c r="B51" s="30"/>
      <c r="C51" s="30">
        <v>13</v>
      </c>
      <c r="D51" s="30"/>
      <c r="E51" s="30"/>
      <c r="F51" s="31"/>
      <c r="G51" s="35">
        <v>11</v>
      </c>
      <c r="H51" s="34"/>
      <c r="I51" s="30"/>
      <c r="J51" s="30">
        <v>2</v>
      </c>
      <c r="K51" s="30"/>
      <c r="L51" s="30"/>
      <c r="M51" s="30"/>
      <c r="N51" s="38">
        <v>5</v>
      </c>
      <c r="O51" s="34"/>
      <c r="P51" s="30"/>
      <c r="Q51" s="30">
        <v>9</v>
      </c>
      <c r="R51" s="30"/>
      <c r="S51" s="30"/>
      <c r="T51" s="30"/>
      <c r="U51" s="38"/>
      <c r="V51" s="34"/>
      <c r="W51" s="30"/>
      <c r="X51" s="30">
        <v>2</v>
      </c>
      <c r="Y51" s="30"/>
      <c r="Z51" s="30"/>
      <c r="AA51" s="30"/>
      <c r="AB51" s="35">
        <v>3</v>
      </c>
      <c r="AD51" s="27">
        <f>IF(ISNUMBER(INDEX($A51:$AB51, MATCH(داشبرد!$D$5, $A$2:$AB$2, 0))), INDEX($A51:$AB51, MATCH(داشبرد!$D$5, $A$2:$AB$2, 0)), NA())</f>
        <v>11</v>
      </c>
    </row>
    <row r="52" spans="1:30" x14ac:dyDescent="0.3">
      <c r="A52" s="34"/>
      <c r="B52" s="30"/>
      <c r="C52" s="30">
        <v>10</v>
      </c>
      <c r="D52" s="30"/>
      <c r="E52" s="30"/>
      <c r="F52" s="31"/>
      <c r="G52" s="35">
        <v>11</v>
      </c>
      <c r="H52" s="34"/>
      <c r="I52" s="30"/>
      <c r="J52" s="30">
        <v>3</v>
      </c>
      <c r="K52" s="30"/>
      <c r="L52" s="30"/>
      <c r="M52" s="30"/>
      <c r="N52" s="38">
        <v>5</v>
      </c>
      <c r="O52" s="34"/>
      <c r="P52" s="30"/>
      <c r="Q52" s="30">
        <v>4</v>
      </c>
      <c r="R52" s="30"/>
      <c r="S52" s="30"/>
      <c r="T52" s="30"/>
      <c r="U52" s="38"/>
      <c r="V52" s="34"/>
      <c r="W52" s="30"/>
      <c r="X52" s="30">
        <v>3</v>
      </c>
      <c r="Y52" s="30"/>
      <c r="Z52" s="30"/>
      <c r="AA52" s="30"/>
      <c r="AB52" s="35">
        <v>3</v>
      </c>
      <c r="AD52" s="27">
        <f>IF(ISNUMBER(INDEX($A52:$AB52, MATCH(داشبرد!$D$5, $A$2:$AB$2, 0))), INDEX($A52:$AB52, MATCH(داشبرد!$D$5, $A$2:$AB$2, 0)), NA())</f>
        <v>11</v>
      </c>
    </row>
    <row r="53" spans="1:30" x14ac:dyDescent="0.3">
      <c r="A53" s="34"/>
      <c r="B53" s="30"/>
      <c r="C53" s="30">
        <v>10</v>
      </c>
      <c r="D53" s="30"/>
      <c r="E53" s="30"/>
      <c r="F53" s="31"/>
      <c r="G53" s="35">
        <v>11</v>
      </c>
      <c r="H53" s="34"/>
      <c r="I53" s="30"/>
      <c r="J53" s="30">
        <v>3</v>
      </c>
      <c r="K53" s="30"/>
      <c r="L53" s="30"/>
      <c r="M53" s="30"/>
      <c r="N53" s="38">
        <v>5</v>
      </c>
      <c r="O53" s="34"/>
      <c r="P53" s="30"/>
      <c r="Q53" s="30">
        <v>4</v>
      </c>
      <c r="R53" s="30"/>
      <c r="S53" s="30"/>
      <c r="T53" s="30"/>
      <c r="U53" s="38"/>
      <c r="V53" s="34"/>
      <c r="W53" s="30"/>
      <c r="X53" s="30">
        <v>3</v>
      </c>
      <c r="Y53" s="30"/>
      <c r="Z53" s="30"/>
      <c r="AA53" s="30"/>
      <c r="AB53" s="35">
        <v>3</v>
      </c>
      <c r="AD53" s="27">
        <f>IF(ISNUMBER(INDEX($A53:$AB53, MATCH(داشبرد!$D$5, $A$2:$AB$2, 0))), INDEX($A53:$AB53, MATCH(داشبرد!$D$5, $A$2:$AB$2, 0)), NA())</f>
        <v>11</v>
      </c>
    </row>
    <row r="54" spans="1:30" x14ac:dyDescent="0.3">
      <c r="A54" s="34"/>
      <c r="B54" s="30"/>
      <c r="C54" s="30">
        <v>10</v>
      </c>
      <c r="D54" s="30"/>
      <c r="E54" s="30"/>
      <c r="F54" s="31"/>
      <c r="G54" s="35">
        <v>11</v>
      </c>
      <c r="H54" s="34"/>
      <c r="I54" s="30"/>
      <c r="J54" s="30">
        <v>3</v>
      </c>
      <c r="K54" s="30"/>
      <c r="L54" s="30"/>
      <c r="M54" s="30"/>
      <c r="N54" s="38">
        <v>5</v>
      </c>
      <c r="O54" s="34"/>
      <c r="P54" s="30"/>
      <c r="Q54" s="30">
        <v>4</v>
      </c>
      <c r="R54" s="30"/>
      <c r="S54" s="30"/>
      <c r="T54" s="30"/>
      <c r="U54" s="38"/>
      <c r="V54" s="34"/>
      <c r="W54" s="30"/>
      <c r="X54" s="30">
        <v>3</v>
      </c>
      <c r="Y54" s="30"/>
      <c r="Z54" s="30"/>
      <c r="AA54" s="30"/>
      <c r="AB54" s="35">
        <v>3</v>
      </c>
      <c r="AD54" s="27">
        <f>IF(ISNUMBER(INDEX($A54:$AB54, MATCH(داشبرد!$D$5, $A$2:$AB$2, 0))), INDEX($A54:$AB54, MATCH(داشبرد!$D$5, $A$2:$AB$2, 0)), NA())</f>
        <v>11</v>
      </c>
    </row>
    <row r="55" spans="1:30" x14ac:dyDescent="0.3">
      <c r="A55" s="34"/>
      <c r="B55" s="30"/>
      <c r="C55" s="30">
        <v>16</v>
      </c>
      <c r="D55" s="30"/>
      <c r="E55" s="30"/>
      <c r="F55" s="31"/>
      <c r="G55" s="35">
        <v>10</v>
      </c>
      <c r="H55" s="34"/>
      <c r="I55" s="30"/>
      <c r="J55" s="30">
        <v>9</v>
      </c>
      <c r="K55" s="30"/>
      <c r="L55" s="30"/>
      <c r="M55" s="30"/>
      <c r="N55" s="38">
        <v>4</v>
      </c>
      <c r="O55" s="34"/>
      <c r="P55" s="30"/>
      <c r="Q55" s="30">
        <v>4</v>
      </c>
      <c r="R55" s="30"/>
      <c r="S55" s="30"/>
      <c r="T55" s="30"/>
      <c r="U55" s="38"/>
      <c r="V55" s="34"/>
      <c r="W55" s="30"/>
      <c r="X55" s="30">
        <v>3</v>
      </c>
      <c r="Y55" s="30"/>
      <c r="Z55" s="30"/>
      <c r="AA55" s="30"/>
      <c r="AB55" s="35">
        <v>4</v>
      </c>
      <c r="AD55" s="27">
        <f>IF(ISNUMBER(INDEX($A55:$AB55, MATCH(داشبرد!$D$5, $A$2:$AB$2, 0))), INDEX($A55:$AB55, MATCH(داشبرد!$D$5, $A$2:$AB$2, 0)), NA())</f>
        <v>10</v>
      </c>
    </row>
    <row r="56" spans="1:30" x14ac:dyDescent="0.3">
      <c r="A56" s="34"/>
      <c r="B56" s="30"/>
      <c r="C56" s="30">
        <v>16</v>
      </c>
      <c r="D56" s="30"/>
      <c r="E56" s="30"/>
      <c r="F56" s="31"/>
      <c r="G56" s="35">
        <v>10</v>
      </c>
      <c r="H56" s="34"/>
      <c r="I56" s="30"/>
      <c r="J56" s="30">
        <v>9</v>
      </c>
      <c r="K56" s="30"/>
      <c r="L56" s="30"/>
      <c r="M56" s="30"/>
      <c r="N56" s="38">
        <v>4</v>
      </c>
      <c r="O56" s="34"/>
      <c r="P56" s="30"/>
      <c r="Q56" s="30">
        <v>4</v>
      </c>
      <c r="R56" s="30"/>
      <c r="S56" s="30"/>
      <c r="T56" s="30"/>
      <c r="U56" s="38"/>
      <c r="V56" s="34"/>
      <c r="W56" s="30"/>
      <c r="X56" s="30">
        <v>3</v>
      </c>
      <c r="Y56" s="30"/>
      <c r="Z56" s="30"/>
      <c r="AA56" s="30"/>
      <c r="AB56" s="35">
        <v>4</v>
      </c>
      <c r="AD56" s="27">
        <f>IF(ISNUMBER(INDEX($A56:$AB56, MATCH(داشبرد!$D$5, $A$2:$AB$2, 0))), INDEX($A56:$AB56, MATCH(داشبرد!$D$5, $A$2:$AB$2, 0)), NA())</f>
        <v>10</v>
      </c>
    </row>
    <row r="57" spans="1:30" x14ac:dyDescent="0.3">
      <c r="A57" s="34"/>
      <c r="B57" s="30"/>
      <c r="C57" s="30">
        <v>3</v>
      </c>
      <c r="D57" s="30"/>
      <c r="E57" s="30"/>
      <c r="F57" s="31"/>
      <c r="G57" s="35">
        <v>7</v>
      </c>
      <c r="H57" s="34"/>
      <c r="I57" s="30"/>
      <c r="J57" s="30">
        <v>1</v>
      </c>
      <c r="K57" s="30"/>
      <c r="L57" s="30"/>
      <c r="M57" s="30"/>
      <c r="N57" s="38">
        <v>4</v>
      </c>
      <c r="O57" s="34"/>
      <c r="P57" s="30"/>
      <c r="Q57" s="30">
        <v>0</v>
      </c>
      <c r="R57" s="30"/>
      <c r="S57" s="30"/>
      <c r="T57" s="30"/>
      <c r="U57" s="38"/>
      <c r="V57" s="34"/>
      <c r="W57" s="30"/>
      <c r="X57" s="30">
        <v>2</v>
      </c>
      <c r="Y57" s="30"/>
      <c r="Z57" s="30"/>
      <c r="AA57" s="30"/>
      <c r="AB57" s="35">
        <v>3</v>
      </c>
      <c r="AD57" s="27">
        <f>IF(ISNUMBER(INDEX($A57:$AB57, MATCH(داشبرد!$D$5, $A$2:$AB$2, 0))), INDEX($A57:$AB57, MATCH(داشبرد!$D$5, $A$2:$AB$2, 0)), NA())</f>
        <v>7</v>
      </c>
    </row>
    <row r="58" spans="1:30" x14ac:dyDescent="0.3">
      <c r="A58" s="34"/>
      <c r="B58" s="30"/>
      <c r="C58" s="30">
        <v>3</v>
      </c>
      <c r="D58" s="30"/>
      <c r="E58" s="30"/>
      <c r="F58" s="31"/>
      <c r="G58" s="35">
        <v>7</v>
      </c>
      <c r="H58" s="34"/>
      <c r="I58" s="30"/>
      <c r="J58" s="30">
        <v>1</v>
      </c>
      <c r="K58" s="30"/>
      <c r="L58" s="30"/>
      <c r="M58" s="30"/>
      <c r="N58" s="38">
        <v>4</v>
      </c>
      <c r="O58" s="34"/>
      <c r="P58" s="30"/>
      <c r="Q58" s="30">
        <v>0</v>
      </c>
      <c r="R58" s="30"/>
      <c r="S58" s="30"/>
      <c r="T58" s="30"/>
      <c r="U58" s="38"/>
      <c r="V58" s="34"/>
      <c r="W58" s="30"/>
      <c r="X58" s="30">
        <v>2</v>
      </c>
      <c r="Y58" s="30"/>
      <c r="Z58" s="30"/>
      <c r="AA58" s="30"/>
      <c r="AB58" s="35">
        <v>3</v>
      </c>
      <c r="AD58" s="27">
        <f>IF(ISNUMBER(INDEX($A58:$AB58, MATCH(داشبرد!$D$5, $A$2:$AB$2, 0))), INDEX($A58:$AB58, MATCH(داشبرد!$D$5, $A$2:$AB$2, 0)), NA())</f>
        <v>7</v>
      </c>
    </row>
    <row r="59" spans="1:30" x14ac:dyDescent="0.3">
      <c r="A59" s="34"/>
      <c r="B59" s="30"/>
      <c r="C59" s="30">
        <v>3</v>
      </c>
      <c r="D59" s="30"/>
      <c r="E59" s="30"/>
      <c r="F59" s="31"/>
      <c r="G59" s="35">
        <v>7</v>
      </c>
      <c r="H59" s="34"/>
      <c r="I59" s="30"/>
      <c r="J59" s="30">
        <v>1</v>
      </c>
      <c r="K59" s="30"/>
      <c r="L59" s="30"/>
      <c r="M59" s="30"/>
      <c r="N59" s="38">
        <v>4</v>
      </c>
      <c r="O59" s="34"/>
      <c r="P59" s="30"/>
      <c r="Q59" s="30">
        <v>0</v>
      </c>
      <c r="R59" s="30"/>
      <c r="S59" s="30"/>
      <c r="T59" s="30"/>
      <c r="U59" s="38"/>
      <c r="V59" s="34"/>
      <c r="W59" s="30"/>
      <c r="X59" s="30">
        <v>2</v>
      </c>
      <c r="Y59" s="30"/>
      <c r="Z59" s="30"/>
      <c r="AA59" s="30"/>
      <c r="AB59" s="35">
        <v>3</v>
      </c>
      <c r="AD59" s="27">
        <f>IF(ISNUMBER(INDEX($A59:$AB59, MATCH(داشبرد!$D$5, $A$2:$AB$2, 0))), INDEX($A59:$AB59, MATCH(داشبرد!$D$5, $A$2:$AB$2, 0)), NA())</f>
        <v>7</v>
      </c>
    </row>
    <row r="60" spans="1:30" x14ac:dyDescent="0.3">
      <c r="A60" s="34"/>
      <c r="B60" s="30"/>
      <c r="C60" s="30">
        <v>12</v>
      </c>
      <c r="D60" s="30"/>
      <c r="E60" s="30"/>
      <c r="F60" s="31"/>
      <c r="G60" s="35">
        <v>7</v>
      </c>
      <c r="H60" s="34"/>
      <c r="I60" s="30"/>
      <c r="J60" s="30">
        <v>6</v>
      </c>
      <c r="K60" s="30"/>
      <c r="L60" s="30"/>
      <c r="M60" s="30"/>
      <c r="N60" s="38">
        <v>3</v>
      </c>
      <c r="O60" s="34"/>
      <c r="P60" s="30"/>
      <c r="Q60" s="30">
        <v>2</v>
      </c>
      <c r="R60" s="30"/>
      <c r="S60" s="30"/>
      <c r="T60" s="30"/>
      <c r="U60" s="38"/>
      <c r="V60" s="34"/>
      <c r="W60" s="30"/>
      <c r="X60" s="30">
        <v>4</v>
      </c>
      <c r="Y60" s="30"/>
      <c r="Z60" s="30"/>
      <c r="AA60" s="30"/>
      <c r="AB60" s="35">
        <v>2</v>
      </c>
      <c r="AD60" s="27">
        <f>IF(ISNUMBER(INDEX($A60:$AB60, MATCH(داشبرد!$D$5, $A$2:$AB$2, 0))), INDEX($A60:$AB60, MATCH(داشبرد!$D$5, $A$2:$AB$2, 0)), NA())</f>
        <v>7</v>
      </c>
    </row>
    <row r="61" spans="1:30" x14ac:dyDescent="0.3">
      <c r="A61" s="34"/>
      <c r="B61" s="30"/>
      <c r="C61" s="30">
        <v>12</v>
      </c>
      <c r="D61" s="30"/>
      <c r="E61" s="30"/>
      <c r="F61" s="31"/>
      <c r="G61" s="35">
        <v>7</v>
      </c>
      <c r="H61" s="34"/>
      <c r="I61" s="30"/>
      <c r="J61" s="30">
        <v>6</v>
      </c>
      <c r="K61" s="30"/>
      <c r="L61" s="30"/>
      <c r="M61" s="30"/>
      <c r="N61" s="38">
        <v>3</v>
      </c>
      <c r="O61" s="34"/>
      <c r="P61" s="30"/>
      <c r="Q61" s="30">
        <v>2</v>
      </c>
      <c r="R61" s="30"/>
      <c r="S61" s="30"/>
      <c r="T61" s="30"/>
      <c r="U61" s="38"/>
      <c r="V61" s="34"/>
      <c r="W61" s="30"/>
      <c r="X61" s="30">
        <v>4</v>
      </c>
      <c r="Y61" s="30"/>
      <c r="Z61" s="30"/>
      <c r="AA61" s="30"/>
      <c r="AB61" s="35">
        <v>2</v>
      </c>
      <c r="AD61" s="27">
        <f>IF(ISNUMBER(INDEX($A61:$AB61, MATCH(داشبرد!$D$5, $A$2:$AB$2, 0))), INDEX($A61:$AB61, MATCH(داشبرد!$D$5, $A$2:$AB$2, 0)), NA())</f>
        <v>7</v>
      </c>
    </row>
    <row r="62" spans="1:30" x14ac:dyDescent="0.3">
      <c r="A62" s="34"/>
      <c r="B62" s="30"/>
      <c r="C62" s="30">
        <v>12</v>
      </c>
      <c r="D62" s="30"/>
      <c r="E62" s="30"/>
      <c r="F62" s="31"/>
      <c r="G62" s="35">
        <v>7</v>
      </c>
      <c r="H62" s="34"/>
      <c r="I62" s="30"/>
      <c r="J62" s="30">
        <v>6</v>
      </c>
      <c r="K62" s="30"/>
      <c r="L62" s="30"/>
      <c r="M62" s="30"/>
      <c r="N62" s="38">
        <v>3</v>
      </c>
      <c r="O62" s="34"/>
      <c r="P62" s="30"/>
      <c r="Q62" s="30">
        <v>2</v>
      </c>
      <c r="R62" s="30"/>
      <c r="S62" s="30"/>
      <c r="T62" s="30"/>
      <c r="U62" s="38"/>
      <c r="V62" s="34"/>
      <c r="W62" s="30"/>
      <c r="X62" s="30">
        <v>4</v>
      </c>
      <c r="Y62" s="30"/>
      <c r="Z62" s="30"/>
      <c r="AA62" s="30"/>
      <c r="AB62" s="35">
        <v>2</v>
      </c>
      <c r="AD62" s="27">
        <f>IF(ISNUMBER(INDEX($A62:$AB62, MATCH(داشبرد!$D$5, $A$2:$AB$2, 0))), INDEX($A62:$AB62, MATCH(داشبرد!$D$5, $A$2:$AB$2, 0)), NA())</f>
        <v>7</v>
      </c>
    </row>
    <row r="63" spans="1:30" x14ac:dyDescent="0.3">
      <c r="A63" s="34"/>
      <c r="B63" s="30"/>
      <c r="C63" s="30">
        <v>18</v>
      </c>
      <c r="D63" s="30"/>
      <c r="E63" s="30"/>
      <c r="F63" s="31"/>
      <c r="G63" s="35">
        <v>9</v>
      </c>
      <c r="H63" s="34"/>
      <c r="I63" s="30"/>
      <c r="J63" s="30">
        <v>6</v>
      </c>
      <c r="K63" s="30"/>
      <c r="L63" s="30"/>
      <c r="M63" s="30"/>
      <c r="N63" s="38">
        <v>3</v>
      </c>
      <c r="O63" s="34"/>
      <c r="P63" s="30"/>
      <c r="Q63" s="30">
        <v>9</v>
      </c>
      <c r="R63" s="30"/>
      <c r="S63" s="30"/>
      <c r="T63" s="30"/>
      <c r="U63" s="38"/>
      <c r="V63" s="34"/>
      <c r="W63" s="30"/>
      <c r="X63" s="30">
        <v>3</v>
      </c>
      <c r="Y63" s="30"/>
      <c r="Z63" s="30"/>
      <c r="AA63" s="30"/>
      <c r="AB63" s="35">
        <v>4</v>
      </c>
      <c r="AD63" s="27">
        <f>IF(ISNUMBER(INDEX($A63:$AB63, MATCH(داشبرد!$D$5, $A$2:$AB$2, 0))), INDEX($A63:$AB63, MATCH(داشبرد!$D$5, $A$2:$AB$2, 0)), NA())</f>
        <v>9</v>
      </c>
    </row>
    <row r="64" spans="1:30" x14ac:dyDescent="0.3">
      <c r="A64" s="34"/>
      <c r="B64" s="30"/>
      <c r="C64" s="30">
        <v>18</v>
      </c>
      <c r="D64" s="30"/>
      <c r="E64" s="30"/>
      <c r="F64" s="31"/>
      <c r="G64" s="35">
        <v>8</v>
      </c>
      <c r="H64" s="34"/>
      <c r="I64" s="30"/>
      <c r="J64" s="30">
        <v>6</v>
      </c>
      <c r="K64" s="30"/>
      <c r="L64" s="30"/>
      <c r="M64" s="30"/>
      <c r="N64" s="38">
        <v>3</v>
      </c>
      <c r="O64" s="34"/>
      <c r="P64" s="30"/>
      <c r="Q64" s="30">
        <v>9</v>
      </c>
      <c r="R64" s="30"/>
      <c r="S64" s="30"/>
      <c r="T64" s="30"/>
      <c r="U64" s="38"/>
      <c r="V64" s="34"/>
      <c r="W64" s="30"/>
      <c r="X64" s="30">
        <v>3</v>
      </c>
      <c r="Y64" s="30"/>
      <c r="Z64" s="30"/>
      <c r="AA64" s="30"/>
      <c r="AB64" s="35">
        <v>4</v>
      </c>
      <c r="AD64" s="27">
        <f>IF(ISNUMBER(INDEX($A64:$AB64, MATCH(داشبرد!$D$5, $A$2:$AB$2, 0))), INDEX($A64:$AB64, MATCH(داشبرد!$D$5, $A$2:$AB$2, 0)), NA())</f>
        <v>8</v>
      </c>
    </row>
    <row r="65" spans="1:30" x14ac:dyDescent="0.3">
      <c r="A65" s="34"/>
      <c r="B65" s="30"/>
      <c r="C65" s="30">
        <v>11</v>
      </c>
      <c r="D65" s="30"/>
      <c r="E65" s="30"/>
      <c r="F65" s="31"/>
      <c r="G65" s="35">
        <v>9</v>
      </c>
      <c r="H65" s="34"/>
      <c r="I65" s="30"/>
      <c r="J65" s="30">
        <v>2</v>
      </c>
      <c r="K65" s="30"/>
      <c r="L65" s="30"/>
      <c r="M65" s="30"/>
      <c r="N65" s="38">
        <v>3</v>
      </c>
      <c r="O65" s="34"/>
      <c r="P65" s="30"/>
      <c r="Q65" s="30">
        <v>6</v>
      </c>
      <c r="R65" s="30"/>
      <c r="S65" s="30"/>
      <c r="T65" s="30"/>
      <c r="U65" s="38"/>
      <c r="V65" s="34"/>
      <c r="W65" s="30"/>
      <c r="X65" s="30">
        <v>3</v>
      </c>
      <c r="Y65" s="30"/>
      <c r="Z65" s="30"/>
      <c r="AA65" s="30"/>
      <c r="AB65" s="35">
        <v>5</v>
      </c>
      <c r="AD65" s="27">
        <f>IF(ISNUMBER(INDEX($A65:$AB65, MATCH(داشبرد!$D$5, $A$2:$AB$2, 0))), INDEX($A65:$AB65, MATCH(داشبرد!$D$5, $A$2:$AB$2, 0)), NA())</f>
        <v>9</v>
      </c>
    </row>
    <row r="66" spans="1:30" x14ac:dyDescent="0.3">
      <c r="A66" s="34"/>
      <c r="B66" s="30"/>
      <c r="C66" s="30">
        <v>10</v>
      </c>
      <c r="D66" s="30"/>
      <c r="E66" s="30"/>
      <c r="F66" s="31"/>
      <c r="G66" s="35">
        <v>11</v>
      </c>
      <c r="H66" s="34"/>
      <c r="I66" s="30"/>
      <c r="J66" s="30">
        <v>2</v>
      </c>
      <c r="K66" s="30"/>
      <c r="L66" s="30"/>
      <c r="M66" s="30"/>
      <c r="N66" s="38">
        <v>5</v>
      </c>
      <c r="O66" s="34"/>
      <c r="P66" s="30"/>
      <c r="Q66" s="30">
        <v>6</v>
      </c>
      <c r="R66" s="30"/>
      <c r="S66" s="30"/>
      <c r="T66" s="30"/>
      <c r="U66" s="38"/>
      <c r="V66" s="34"/>
      <c r="W66" s="30"/>
      <c r="X66" s="30">
        <v>2</v>
      </c>
      <c r="Y66" s="30"/>
      <c r="Z66" s="30"/>
      <c r="AA66" s="30"/>
      <c r="AB66" s="35">
        <v>4</v>
      </c>
      <c r="AD66" s="27">
        <f>IF(ISNUMBER(INDEX($A66:$AB66, MATCH(داشبرد!$D$5, $A$2:$AB$2, 0))), INDEX($A66:$AB66, MATCH(داشبرد!$D$5, $A$2:$AB$2, 0)), NA())</f>
        <v>11</v>
      </c>
    </row>
    <row r="67" spans="1:30" x14ac:dyDescent="0.3">
      <c r="A67" s="34"/>
      <c r="B67" s="30"/>
      <c r="C67" s="30">
        <v>11</v>
      </c>
      <c r="D67" s="30"/>
      <c r="E67" s="30"/>
      <c r="F67" s="31"/>
      <c r="G67" s="35">
        <v>12</v>
      </c>
      <c r="H67" s="34"/>
      <c r="I67" s="30"/>
      <c r="J67" s="30">
        <v>2</v>
      </c>
      <c r="K67" s="30"/>
      <c r="L67" s="30"/>
      <c r="M67" s="30"/>
      <c r="N67" s="38">
        <v>5</v>
      </c>
      <c r="O67" s="34"/>
      <c r="P67" s="30"/>
      <c r="Q67" s="30">
        <v>6</v>
      </c>
      <c r="R67" s="30"/>
      <c r="S67" s="30"/>
      <c r="T67" s="30"/>
      <c r="U67" s="38"/>
      <c r="V67" s="34"/>
      <c r="W67" s="30"/>
      <c r="X67" s="30">
        <v>3</v>
      </c>
      <c r="Y67" s="30"/>
      <c r="Z67" s="30"/>
      <c r="AA67" s="30"/>
      <c r="AB67" s="35">
        <v>5</v>
      </c>
      <c r="AD67" s="27">
        <f>IF(ISNUMBER(INDEX($A67:$AB67, MATCH(داشبرد!$D$5, $A$2:$AB$2, 0))), INDEX($A67:$AB67, MATCH(داشبرد!$D$5, $A$2:$AB$2, 0)), NA())</f>
        <v>12</v>
      </c>
    </row>
    <row r="68" spans="1:30" x14ac:dyDescent="0.3">
      <c r="A68" s="34"/>
      <c r="B68" s="30"/>
      <c r="C68" s="30">
        <v>8</v>
      </c>
      <c r="D68" s="30"/>
      <c r="E68" s="30"/>
      <c r="F68" s="31"/>
      <c r="G68" s="35">
        <v>9</v>
      </c>
      <c r="H68" s="34"/>
      <c r="I68" s="30"/>
      <c r="J68" s="30">
        <v>5</v>
      </c>
      <c r="K68" s="30"/>
      <c r="L68" s="30"/>
      <c r="M68" s="30"/>
      <c r="N68" s="38">
        <v>4</v>
      </c>
      <c r="O68" s="34"/>
      <c r="P68" s="30"/>
      <c r="Q68" s="30">
        <v>0</v>
      </c>
      <c r="R68" s="30"/>
      <c r="S68" s="30"/>
      <c r="T68" s="30"/>
      <c r="U68" s="38"/>
      <c r="V68" s="34"/>
      <c r="W68" s="30"/>
      <c r="X68" s="30">
        <v>3</v>
      </c>
      <c r="Y68" s="30"/>
      <c r="Z68" s="30"/>
      <c r="AA68" s="30"/>
      <c r="AB68" s="35">
        <v>5</v>
      </c>
      <c r="AD68" s="27">
        <f>IF(ISNUMBER(INDEX($A68:$AB68, MATCH(داشبرد!$D$5, $A$2:$AB$2, 0))), INDEX($A68:$AB68, MATCH(داشبرد!$D$5, $A$2:$AB$2, 0)), NA())</f>
        <v>9</v>
      </c>
    </row>
    <row r="69" spans="1:30" x14ac:dyDescent="0.3">
      <c r="A69" s="34"/>
      <c r="B69" s="30"/>
      <c r="C69" s="30">
        <v>7</v>
      </c>
      <c r="D69" s="30"/>
      <c r="E69" s="30"/>
      <c r="F69" s="31"/>
      <c r="G69" s="35">
        <v>6</v>
      </c>
      <c r="H69" s="34"/>
      <c r="I69" s="30"/>
      <c r="J69" s="30">
        <v>5</v>
      </c>
      <c r="K69" s="30"/>
      <c r="L69" s="30"/>
      <c r="M69" s="30"/>
      <c r="N69" s="38">
        <v>4</v>
      </c>
      <c r="O69" s="34"/>
      <c r="P69" s="30"/>
      <c r="Q69" s="30">
        <v>0</v>
      </c>
      <c r="R69" s="30"/>
      <c r="S69" s="30"/>
      <c r="T69" s="30"/>
      <c r="U69" s="38"/>
      <c r="V69" s="34"/>
      <c r="W69" s="30"/>
      <c r="X69" s="30">
        <v>2</v>
      </c>
      <c r="Y69" s="30"/>
      <c r="Z69" s="30"/>
      <c r="AA69" s="30"/>
      <c r="AB69" s="35">
        <v>2</v>
      </c>
      <c r="AD69" s="27">
        <f>IF(ISNUMBER(INDEX($A69:$AB69, MATCH(داشبرد!$D$5, $A$2:$AB$2, 0))), INDEX($A69:$AB69, MATCH(داشبرد!$D$5, $A$2:$AB$2, 0)), NA())</f>
        <v>6</v>
      </c>
    </row>
    <row r="70" spans="1:30" x14ac:dyDescent="0.3">
      <c r="A70" s="34"/>
      <c r="B70" s="30"/>
      <c r="C70" s="30">
        <v>8</v>
      </c>
      <c r="D70" s="30"/>
      <c r="E70" s="30"/>
      <c r="F70" s="31"/>
      <c r="G70" s="35">
        <v>8</v>
      </c>
      <c r="H70" s="34"/>
      <c r="I70" s="30"/>
      <c r="J70" s="30">
        <v>5</v>
      </c>
      <c r="K70" s="30"/>
      <c r="L70" s="30"/>
      <c r="M70" s="30"/>
      <c r="N70" s="38">
        <v>4</v>
      </c>
      <c r="O70" s="34"/>
      <c r="P70" s="30"/>
      <c r="Q70" s="30">
        <v>0</v>
      </c>
      <c r="R70" s="30"/>
      <c r="S70" s="30"/>
      <c r="T70" s="30"/>
      <c r="U70" s="38"/>
      <c r="V70" s="34"/>
      <c r="W70" s="30"/>
      <c r="X70" s="30">
        <v>3</v>
      </c>
      <c r="Y70" s="30"/>
      <c r="Z70" s="30"/>
      <c r="AA70" s="30"/>
      <c r="AB70" s="35">
        <v>4</v>
      </c>
      <c r="AD70" s="27">
        <f>IF(ISNUMBER(INDEX($A70:$AB70, MATCH(داشبرد!$D$5, $A$2:$AB$2, 0))), INDEX($A70:$AB70, MATCH(داشبرد!$D$5, $A$2:$AB$2, 0)), NA())</f>
        <v>8</v>
      </c>
    </row>
    <row r="71" spans="1:30" x14ac:dyDescent="0.3">
      <c r="A71" s="34"/>
      <c r="B71" s="30"/>
      <c r="C71" s="30">
        <v>8</v>
      </c>
      <c r="D71" s="30"/>
      <c r="E71" s="30"/>
      <c r="F71" s="31"/>
      <c r="G71" s="35">
        <v>7</v>
      </c>
      <c r="H71" s="34"/>
      <c r="I71" s="30"/>
      <c r="J71" s="30">
        <v>5</v>
      </c>
      <c r="K71" s="30"/>
      <c r="L71" s="30"/>
      <c r="M71" s="30"/>
      <c r="N71" s="38">
        <v>4</v>
      </c>
      <c r="O71" s="34"/>
      <c r="P71" s="30"/>
      <c r="Q71" s="30">
        <v>0</v>
      </c>
      <c r="R71" s="30"/>
      <c r="S71" s="30"/>
      <c r="T71" s="30"/>
      <c r="U71" s="38"/>
      <c r="V71" s="34"/>
      <c r="W71" s="30"/>
      <c r="X71" s="30">
        <v>3</v>
      </c>
      <c r="Y71" s="30"/>
      <c r="Z71" s="30"/>
      <c r="AA71" s="30"/>
      <c r="AB71" s="35">
        <v>2</v>
      </c>
      <c r="AD71" s="27">
        <f>IF(ISNUMBER(INDEX($A71:$AB71, MATCH(داشبرد!$D$5, $A$2:$AB$2, 0))), INDEX($A71:$AB71, MATCH(داشبرد!$D$5, $A$2:$AB$2, 0)), NA())</f>
        <v>7</v>
      </c>
    </row>
    <row r="72" spans="1:30" x14ac:dyDescent="0.3">
      <c r="A72" s="34"/>
      <c r="B72" s="30"/>
      <c r="C72" s="30">
        <v>5</v>
      </c>
      <c r="D72" s="30"/>
      <c r="E72" s="30"/>
      <c r="F72" s="31"/>
      <c r="G72" s="35">
        <v>7</v>
      </c>
      <c r="H72" s="34"/>
      <c r="I72" s="30"/>
      <c r="J72" s="30">
        <v>2</v>
      </c>
      <c r="K72" s="30"/>
      <c r="L72" s="30"/>
      <c r="M72" s="30"/>
      <c r="N72" s="38">
        <v>4</v>
      </c>
      <c r="O72" s="34"/>
      <c r="P72" s="30"/>
      <c r="Q72" s="30">
        <v>1</v>
      </c>
      <c r="R72" s="30"/>
      <c r="S72" s="30"/>
      <c r="T72" s="30"/>
      <c r="U72" s="38"/>
      <c r="V72" s="34"/>
      <c r="W72" s="30"/>
      <c r="X72" s="30">
        <v>2</v>
      </c>
      <c r="Y72" s="30"/>
      <c r="Z72" s="30"/>
      <c r="AA72" s="30"/>
      <c r="AB72" s="35">
        <v>2</v>
      </c>
      <c r="AD72" s="27">
        <f>IF(ISNUMBER(INDEX($A72:$AB72, MATCH(داشبرد!$D$5, $A$2:$AB$2, 0))), INDEX($A72:$AB72, MATCH(داشبرد!$D$5, $A$2:$AB$2, 0)), NA())</f>
        <v>7</v>
      </c>
    </row>
    <row r="73" spans="1:30" x14ac:dyDescent="0.3">
      <c r="A73" s="34"/>
      <c r="B73" s="30"/>
      <c r="C73" s="30">
        <v>5</v>
      </c>
      <c r="D73" s="30"/>
      <c r="E73" s="30"/>
      <c r="F73" s="31"/>
      <c r="G73" s="35">
        <v>11</v>
      </c>
      <c r="H73" s="34"/>
      <c r="I73" s="30"/>
      <c r="J73" s="30">
        <v>2</v>
      </c>
      <c r="K73" s="30"/>
      <c r="L73" s="30"/>
      <c r="M73" s="30"/>
      <c r="N73" s="38">
        <v>2</v>
      </c>
      <c r="O73" s="34"/>
      <c r="P73" s="30"/>
      <c r="Q73" s="30">
        <v>1</v>
      </c>
      <c r="R73" s="30"/>
      <c r="S73" s="30"/>
      <c r="T73" s="30"/>
      <c r="U73" s="38"/>
      <c r="V73" s="34"/>
      <c r="W73" s="30"/>
      <c r="X73" s="30">
        <v>2</v>
      </c>
      <c r="Y73" s="30"/>
      <c r="Z73" s="30"/>
      <c r="AA73" s="30"/>
      <c r="AB73" s="35">
        <v>3</v>
      </c>
      <c r="AD73" s="27">
        <f>IF(ISNUMBER(INDEX($A73:$AB73, MATCH(داشبرد!$D$5, $A$2:$AB$2, 0))), INDEX($A73:$AB73, MATCH(داشبرد!$D$5, $A$2:$AB$2, 0)), NA())</f>
        <v>11</v>
      </c>
    </row>
    <row r="74" spans="1:30" x14ac:dyDescent="0.3">
      <c r="A74" s="34"/>
      <c r="B74" s="30"/>
      <c r="C74" s="30">
        <v>5</v>
      </c>
      <c r="D74" s="30"/>
      <c r="E74" s="30"/>
      <c r="F74" s="31"/>
      <c r="G74" s="35">
        <v>11</v>
      </c>
      <c r="H74" s="34"/>
      <c r="I74" s="30"/>
      <c r="J74" s="30">
        <v>2</v>
      </c>
      <c r="K74" s="30"/>
      <c r="L74" s="30"/>
      <c r="M74" s="30"/>
      <c r="N74" s="38">
        <v>2</v>
      </c>
      <c r="O74" s="34"/>
      <c r="P74" s="30"/>
      <c r="Q74" s="30">
        <v>0</v>
      </c>
      <c r="R74" s="30"/>
      <c r="S74" s="30"/>
      <c r="T74" s="30"/>
      <c r="U74" s="38"/>
      <c r="V74" s="34"/>
      <c r="W74" s="30"/>
      <c r="X74" s="30">
        <v>3</v>
      </c>
      <c r="Y74" s="30"/>
      <c r="Z74" s="30"/>
      <c r="AA74" s="30"/>
      <c r="AB74" s="35">
        <v>3</v>
      </c>
      <c r="AD74" s="27">
        <f>IF(ISNUMBER(INDEX($A74:$AB74, MATCH(داشبرد!$D$5, $A$2:$AB$2, 0))), INDEX($A74:$AB74, MATCH(داشبرد!$D$5, $A$2:$AB$2, 0)), NA())</f>
        <v>11</v>
      </c>
    </row>
    <row r="75" spans="1:30" x14ac:dyDescent="0.3">
      <c r="A75" s="34"/>
      <c r="B75" s="30"/>
      <c r="C75" s="30">
        <v>5</v>
      </c>
      <c r="D75" s="30"/>
      <c r="E75" s="30"/>
      <c r="F75" s="31"/>
      <c r="G75" s="35">
        <v>15</v>
      </c>
      <c r="H75" s="34"/>
      <c r="I75" s="30"/>
      <c r="J75" s="30">
        <v>2</v>
      </c>
      <c r="K75" s="30"/>
      <c r="L75" s="30"/>
      <c r="M75" s="30"/>
      <c r="N75" s="38">
        <v>2</v>
      </c>
      <c r="O75" s="34"/>
      <c r="P75" s="30"/>
      <c r="Q75" s="30">
        <v>0</v>
      </c>
      <c r="R75" s="30"/>
      <c r="S75" s="30"/>
      <c r="T75" s="30"/>
      <c r="U75" s="38"/>
      <c r="V75" s="34"/>
      <c r="W75" s="30"/>
      <c r="X75" s="30">
        <v>3</v>
      </c>
      <c r="Y75" s="30"/>
      <c r="Z75" s="30"/>
      <c r="AA75" s="30"/>
      <c r="AB75" s="35">
        <v>4</v>
      </c>
      <c r="AD75" s="27">
        <f>IF(ISNUMBER(INDEX($A75:$AB75, MATCH(داشبرد!$D$5, $A$2:$AB$2, 0))), INDEX($A75:$AB75, MATCH(داشبرد!$D$5, $A$2:$AB$2, 0)), NA())</f>
        <v>15</v>
      </c>
    </row>
    <row r="76" spans="1:30" x14ac:dyDescent="0.3">
      <c r="A76" s="34"/>
      <c r="B76" s="30"/>
      <c r="C76" s="30">
        <v>5</v>
      </c>
      <c r="D76" s="30"/>
      <c r="E76" s="30"/>
      <c r="F76" s="31"/>
      <c r="G76" s="35">
        <v>13</v>
      </c>
      <c r="H76" s="34"/>
      <c r="I76" s="30"/>
      <c r="J76" s="30">
        <v>2</v>
      </c>
      <c r="K76" s="30"/>
      <c r="L76" s="30"/>
      <c r="M76" s="30"/>
      <c r="N76" s="38">
        <v>2</v>
      </c>
      <c r="O76" s="34"/>
      <c r="P76" s="30"/>
      <c r="Q76" s="30">
        <v>0</v>
      </c>
      <c r="R76" s="30"/>
      <c r="S76" s="30"/>
      <c r="T76" s="30"/>
      <c r="U76" s="38"/>
      <c r="V76" s="34"/>
      <c r="W76" s="30"/>
      <c r="X76" s="30">
        <v>3</v>
      </c>
      <c r="Y76" s="30"/>
      <c r="Z76" s="30"/>
      <c r="AA76" s="30"/>
      <c r="AB76" s="35">
        <v>2</v>
      </c>
      <c r="AD76" s="27">
        <f>IF(ISNUMBER(INDEX($A76:$AB76, MATCH(داشبرد!$D$5, $A$2:$AB$2, 0))), INDEX($A76:$AB76, MATCH(داشبرد!$D$5, $A$2:$AB$2, 0)), NA())</f>
        <v>13</v>
      </c>
    </row>
    <row r="77" spans="1:30" x14ac:dyDescent="0.3">
      <c r="A77" s="34"/>
      <c r="B77" s="30"/>
      <c r="C77" s="30">
        <v>4</v>
      </c>
      <c r="D77" s="30"/>
      <c r="E77" s="30"/>
      <c r="F77" s="31"/>
      <c r="G77" s="35">
        <v>13</v>
      </c>
      <c r="H77" s="34"/>
      <c r="I77" s="30"/>
      <c r="J77" s="30">
        <v>2</v>
      </c>
      <c r="K77" s="30"/>
      <c r="L77" s="30"/>
      <c r="M77" s="30"/>
      <c r="N77" s="38">
        <v>2</v>
      </c>
      <c r="O77" s="34"/>
      <c r="P77" s="30"/>
      <c r="Q77" s="30">
        <v>0</v>
      </c>
      <c r="R77" s="30"/>
      <c r="S77" s="30"/>
      <c r="T77" s="30"/>
      <c r="U77" s="38"/>
      <c r="V77" s="34"/>
      <c r="W77" s="30"/>
      <c r="X77" s="30">
        <v>2</v>
      </c>
      <c r="Y77" s="30"/>
      <c r="Z77" s="30"/>
      <c r="AA77" s="30"/>
      <c r="AB77" s="35">
        <v>2</v>
      </c>
      <c r="AD77" s="27">
        <f>IF(ISNUMBER(INDEX($A77:$AB77, MATCH(داشبرد!$D$5, $A$2:$AB$2, 0))), INDEX($A77:$AB77, MATCH(داشبرد!$D$5, $A$2:$AB$2, 0)), NA())</f>
        <v>13</v>
      </c>
    </row>
    <row r="78" spans="1:30" x14ac:dyDescent="0.3">
      <c r="A78" s="34"/>
      <c r="B78" s="30"/>
      <c r="C78" s="30">
        <v>4</v>
      </c>
      <c r="D78" s="30"/>
      <c r="E78" s="30"/>
      <c r="F78" s="31"/>
      <c r="G78" s="35">
        <v>10</v>
      </c>
      <c r="H78" s="34"/>
      <c r="I78" s="30"/>
      <c r="J78" s="30">
        <v>2</v>
      </c>
      <c r="K78" s="30"/>
      <c r="L78" s="30"/>
      <c r="M78" s="30"/>
      <c r="N78" s="38">
        <v>3</v>
      </c>
      <c r="O78" s="34"/>
      <c r="P78" s="30"/>
      <c r="Q78" s="30">
        <v>0</v>
      </c>
      <c r="R78" s="30"/>
      <c r="S78" s="30"/>
      <c r="T78" s="30"/>
      <c r="U78" s="38"/>
      <c r="V78" s="34"/>
      <c r="W78" s="30"/>
      <c r="X78" s="30">
        <v>2</v>
      </c>
      <c r="Y78" s="30"/>
      <c r="Z78" s="30"/>
      <c r="AA78" s="30"/>
      <c r="AB78" s="35">
        <v>3</v>
      </c>
      <c r="AD78" s="27">
        <f>IF(ISNUMBER(INDEX($A78:$AB78, MATCH(داشبرد!$D$5, $A$2:$AB$2, 0))), INDEX($A78:$AB78, MATCH(داشبرد!$D$5, $A$2:$AB$2, 0)), NA())</f>
        <v>10</v>
      </c>
    </row>
    <row r="79" spans="1:30" x14ac:dyDescent="0.3">
      <c r="A79" s="34"/>
      <c r="B79" s="30"/>
      <c r="C79" s="30">
        <v>5</v>
      </c>
      <c r="D79" s="30"/>
      <c r="E79" s="30"/>
      <c r="F79" s="31"/>
      <c r="G79" s="35">
        <v>10</v>
      </c>
      <c r="H79" s="34"/>
      <c r="I79" s="30"/>
      <c r="J79" s="30">
        <v>2</v>
      </c>
      <c r="K79" s="30"/>
      <c r="L79" s="30"/>
      <c r="M79" s="30"/>
      <c r="N79" s="38">
        <v>3</v>
      </c>
      <c r="O79" s="34"/>
      <c r="P79" s="30"/>
      <c r="Q79" s="30">
        <v>1</v>
      </c>
      <c r="R79" s="30"/>
      <c r="S79" s="30"/>
      <c r="T79" s="30"/>
      <c r="U79" s="38"/>
      <c r="V79" s="34"/>
      <c r="W79" s="30"/>
      <c r="X79" s="30">
        <v>2</v>
      </c>
      <c r="Y79" s="30"/>
      <c r="Z79" s="30"/>
      <c r="AA79" s="30"/>
      <c r="AB79" s="35">
        <v>3</v>
      </c>
      <c r="AD79" s="27">
        <f>IF(ISNUMBER(INDEX($A79:$AB79, MATCH(داشبرد!$D$5, $A$2:$AB$2, 0))), INDEX($A79:$AB79, MATCH(داشبرد!$D$5, $A$2:$AB$2, 0)), NA())</f>
        <v>10</v>
      </c>
    </row>
    <row r="80" spans="1:30" x14ac:dyDescent="0.3">
      <c r="A80" s="34"/>
      <c r="B80" s="30"/>
      <c r="C80" s="30">
        <v>13</v>
      </c>
      <c r="D80" s="30"/>
      <c r="E80" s="30"/>
      <c r="F80" s="31"/>
      <c r="G80" s="35">
        <v>10</v>
      </c>
      <c r="H80" s="34"/>
      <c r="I80" s="30"/>
      <c r="J80" s="30">
        <v>10</v>
      </c>
      <c r="K80" s="30"/>
      <c r="L80" s="30"/>
      <c r="M80" s="30"/>
      <c r="N80" s="38">
        <v>3</v>
      </c>
      <c r="O80" s="34"/>
      <c r="P80" s="30"/>
      <c r="Q80" s="30">
        <v>1</v>
      </c>
      <c r="R80" s="30"/>
      <c r="S80" s="30"/>
      <c r="T80" s="30"/>
      <c r="U80" s="38"/>
      <c r="V80" s="34"/>
      <c r="W80" s="30"/>
      <c r="X80" s="30">
        <v>2</v>
      </c>
      <c r="Y80" s="30"/>
      <c r="Z80" s="30"/>
      <c r="AA80" s="30"/>
      <c r="AB80" s="35">
        <v>3</v>
      </c>
      <c r="AD80" s="27">
        <f>IF(ISNUMBER(INDEX($A80:$AB80, MATCH(داشبرد!$D$5, $A$2:$AB$2, 0))), INDEX($A80:$AB80, MATCH(داشبرد!$D$5, $A$2:$AB$2, 0)), NA())</f>
        <v>10</v>
      </c>
    </row>
    <row r="81" spans="1:30" x14ac:dyDescent="0.3">
      <c r="A81" s="34"/>
      <c r="B81" s="30"/>
      <c r="C81" s="30">
        <v>13</v>
      </c>
      <c r="D81" s="30"/>
      <c r="E81" s="30"/>
      <c r="F81" s="31"/>
      <c r="G81" s="35">
        <v>26</v>
      </c>
      <c r="H81" s="34"/>
      <c r="I81" s="30"/>
      <c r="J81" s="30">
        <v>10</v>
      </c>
      <c r="K81" s="30"/>
      <c r="L81" s="30"/>
      <c r="M81" s="30"/>
      <c r="N81" s="38">
        <v>15</v>
      </c>
      <c r="O81" s="34"/>
      <c r="P81" s="30"/>
      <c r="Q81" s="30">
        <v>1</v>
      </c>
      <c r="R81" s="30"/>
      <c r="S81" s="30"/>
      <c r="T81" s="30"/>
      <c r="U81" s="38"/>
      <c r="V81" s="34"/>
      <c r="W81" s="30"/>
      <c r="X81" s="30">
        <v>2</v>
      </c>
      <c r="Y81" s="30"/>
      <c r="Z81" s="30"/>
      <c r="AA81" s="30"/>
      <c r="AB81" s="35">
        <v>2</v>
      </c>
      <c r="AD81" s="27">
        <f>IF(ISNUMBER(INDEX($A81:$AB81, MATCH(داشبرد!$D$5, $A$2:$AB$2, 0))), INDEX($A81:$AB81, MATCH(داشبرد!$D$5, $A$2:$AB$2, 0)), NA())</f>
        <v>26</v>
      </c>
    </row>
    <row r="82" spans="1:30" x14ac:dyDescent="0.3">
      <c r="A82" s="34"/>
      <c r="B82" s="30"/>
      <c r="C82" s="30">
        <v>14</v>
      </c>
      <c r="D82" s="30"/>
      <c r="E82" s="30"/>
      <c r="F82" s="31"/>
      <c r="G82" s="35">
        <v>24</v>
      </c>
      <c r="H82" s="34"/>
      <c r="I82" s="30"/>
      <c r="J82" s="30">
        <v>10</v>
      </c>
      <c r="K82" s="30"/>
      <c r="L82" s="30"/>
      <c r="M82" s="30"/>
      <c r="N82" s="38">
        <v>15</v>
      </c>
      <c r="O82" s="34"/>
      <c r="P82" s="30"/>
      <c r="Q82" s="30">
        <v>1</v>
      </c>
      <c r="R82" s="30"/>
      <c r="S82" s="30"/>
      <c r="T82" s="30"/>
      <c r="U82" s="38"/>
      <c r="V82" s="34"/>
      <c r="W82" s="30"/>
      <c r="X82" s="30">
        <v>3</v>
      </c>
      <c r="Y82" s="30"/>
      <c r="Z82" s="30"/>
      <c r="AA82" s="30"/>
      <c r="AB82" s="35">
        <v>1</v>
      </c>
      <c r="AD82" s="27">
        <f>IF(ISNUMBER(INDEX($A82:$AB82, MATCH(داشبرد!$D$5, $A$2:$AB$2, 0))), INDEX($A82:$AB82, MATCH(داشبرد!$D$5, $A$2:$AB$2, 0)), NA())</f>
        <v>24</v>
      </c>
    </row>
    <row r="83" spans="1:30" x14ac:dyDescent="0.3">
      <c r="A83" s="34"/>
      <c r="B83" s="30"/>
      <c r="C83" s="30">
        <v>14</v>
      </c>
      <c r="D83" s="30"/>
      <c r="E83" s="30"/>
      <c r="F83" s="31"/>
      <c r="G83" s="35">
        <v>25</v>
      </c>
      <c r="H83" s="34"/>
      <c r="I83" s="30"/>
      <c r="J83" s="30">
        <v>10</v>
      </c>
      <c r="K83" s="30"/>
      <c r="L83" s="30"/>
      <c r="M83" s="30"/>
      <c r="N83" s="38">
        <v>15</v>
      </c>
      <c r="O83" s="34"/>
      <c r="P83" s="30"/>
      <c r="Q83" s="30">
        <v>1</v>
      </c>
      <c r="R83" s="30"/>
      <c r="S83" s="30"/>
      <c r="T83" s="30"/>
      <c r="U83" s="38"/>
      <c r="V83" s="34"/>
      <c r="W83" s="30"/>
      <c r="X83" s="30">
        <v>3</v>
      </c>
      <c r="Y83" s="30"/>
      <c r="Z83" s="30"/>
      <c r="AA83" s="30"/>
      <c r="AB83" s="35">
        <v>2</v>
      </c>
      <c r="AD83" s="27">
        <f>IF(ISNUMBER(INDEX($A83:$AB83, MATCH(داشبرد!$D$5, $A$2:$AB$2, 0))), INDEX($A83:$AB83, MATCH(داشبرد!$D$5, $A$2:$AB$2, 0)), NA())</f>
        <v>25</v>
      </c>
    </row>
    <row r="84" spans="1:30" x14ac:dyDescent="0.3">
      <c r="A84" s="34"/>
      <c r="B84" s="30"/>
      <c r="C84" s="30">
        <v>17</v>
      </c>
      <c r="D84" s="30"/>
      <c r="E84" s="30"/>
      <c r="F84" s="31"/>
      <c r="G84" s="35">
        <v>25</v>
      </c>
      <c r="H84" s="34"/>
      <c r="I84" s="30"/>
      <c r="J84" s="30">
        <v>3</v>
      </c>
      <c r="K84" s="30"/>
      <c r="L84" s="30"/>
      <c r="M84" s="30"/>
      <c r="N84" s="38">
        <v>15</v>
      </c>
      <c r="O84" s="34"/>
      <c r="P84" s="30"/>
      <c r="Q84" s="30">
        <v>12</v>
      </c>
      <c r="R84" s="30"/>
      <c r="S84" s="30"/>
      <c r="T84" s="30"/>
      <c r="U84" s="38"/>
      <c r="V84" s="34"/>
      <c r="W84" s="30"/>
      <c r="X84" s="30">
        <v>2</v>
      </c>
      <c r="Y84" s="30"/>
      <c r="Z84" s="30"/>
      <c r="AA84" s="30"/>
      <c r="AB84" s="35">
        <v>2</v>
      </c>
      <c r="AD84" s="27">
        <f>IF(ISNUMBER(INDEX($A84:$AB84, MATCH(داشبرد!$D$5, $A$2:$AB$2, 0))), INDEX($A84:$AB84, MATCH(داشبرد!$D$5, $A$2:$AB$2, 0)), NA())</f>
        <v>25</v>
      </c>
    </row>
    <row r="85" spans="1:30" x14ac:dyDescent="0.3">
      <c r="A85" s="34"/>
      <c r="B85" s="30"/>
      <c r="C85" s="30">
        <v>19</v>
      </c>
      <c r="D85" s="30"/>
      <c r="E85" s="30"/>
      <c r="F85" s="31"/>
      <c r="G85" s="35">
        <v>16</v>
      </c>
      <c r="H85" s="34"/>
      <c r="I85" s="30"/>
      <c r="J85" s="30">
        <v>3</v>
      </c>
      <c r="K85" s="30"/>
      <c r="L85" s="30"/>
      <c r="M85" s="30"/>
      <c r="N85" s="38">
        <v>9</v>
      </c>
      <c r="O85" s="34"/>
      <c r="P85" s="30"/>
      <c r="Q85" s="30">
        <v>12</v>
      </c>
      <c r="R85" s="30"/>
      <c r="S85" s="30"/>
      <c r="T85" s="30"/>
      <c r="U85" s="38"/>
      <c r="V85" s="34"/>
      <c r="W85" s="30"/>
      <c r="X85" s="30">
        <v>4</v>
      </c>
      <c r="Y85" s="30"/>
      <c r="Z85" s="30"/>
      <c r="AA85" s="30"/>
      <c r="AB85" s="35">
        <v>3</v>
      </c>
      <c r="AD85" s="27">
        <f>IF(ISNUMBER(INDEX($A85:$AB85, MATCH(داشبرد!$D$5, $A$2:$AB$2, 0))), INDEX($A85:$AB85, MATCH(داشبرد!$D$5, $A$2:$AB$2, 0)), NA())</f>
        <v>16</v>
      </c>
    </row>
    <row r="86" spans="1:30" x14ac:dyDescent="0.3">
      <c r="A86" s="34"/>
      <c r="B86" s="30"/>
      <c r="C86" s="30">
        <v>18</v>
      </c>
      <c r="D86" s="30"/>
      <c r="E86" s="30"/>
      <c r="F86" s="31"/>
      <c r="G86" s="35">
        <v>16</v>
      </c>
      <c r="H86" s="34"/>
      <c r="I86" s="30"/>
      <c r="J86" s="30">
        <v>3</v>
      </c>
      <c r="K86" s="30"/>
      <c r="L86" s="30"/>
      <c r="M86" s="30"/>
      <c r="N86" s="38">
        <v>9</v>
      </c>
      <c r="O86" s="34"/>
      <c r="P86" s="30"/>
      <c r="Q86" s="30">
        <v>10</v>
      </c>
      <c r="R86" s="30"/>
      <c r="S86" s="30"/>
      <c r="T86" s="30"/>
      <c r="U86" s="38"/>
      <c r="V86" s="34"/>
      <c r="W86" s="30"/>
      <c r="X86" s="30">
        <v>5</v>
      </c>
      <c r="Y86" s="30"/>
      <c r="Z86" s="30"/>
      <c r="AA86" s="30"/>
      <c r="AB86" s="35">
        <v>3</v>
      </c>
      <c r="AD86" s="27">
        <f>IF(ISNUMBER(INDEX($A86:$AB86, MATCH(داشبرد!$D$5, $A$2:$AB$2, 0))), INDEX($A86:$AB86, MATCH(داشبرد!$D$5, $A$2:$AB$2, 0)), NA())</f>
        <v>16</v>
      </c>
    </row>
    <row r="87" spans="1:30" x14ac:dyDescent="0.3">
      <c r="A87" s="34"/>
      <c r="B87" s="30"/>
      <c r="C87" s="30">
        <v>16</v>
      </c>
      <c r="D87" s="30"/>
      <c r="E87" s="30"/>
      <c r="F87" s="31"/>
      <c r="G87" s="35">
        <v>3</v>
      </c>
      <c r="H87" s="34"/>
      <c r="I87" s="30"/>
      <c r="J87" s="30">
        <v>3</v>
      </c>
      <c r="K87" s="30"/>
      <c r="L87" s="30"/>
      <c r="M87" s="30"/>
      <c r="N87" s="38">
        <v>1</v>
      </c>
      <c r="O87" s="34"/>
      <c r="P87" s="30"/>
      <c r="Q87" s="30">
        <v>10</v>
      </c>
      <c r="R87" s="30"/>
      <c r="S87" s="30"/>
      <c r="T87" s="30"/>
      <c r="U87" s="38"/>
      <c r="V87" s="34"/>
      <c r="W87" s="30"/>
      <c r="X87" s="30">
        <v>3</v>
      </c>
      <c r="Y87" s="30"/>
      <c r="Z87" s="30"/>
      <c r="AA87" s="30"/>
      <c r="AB87" s="35">
        <v>2</v>
      </c>
      <c r="AD87" s="27">
        <f>IF(ISNUMBER(INDEX($A87:$AB87, MATCH(داشبرد!$D$5, $A$2:$AB$2, 0))), INDEX($A87:$AB87, MATCH(داشبرد!$D$5, $A$2:$AB$2, 0)), NA())</f>
        <v>3</v>
      </c>
    </row>
    <row r="88" spans="1:30" x14ac:dyDescent="0.3">
      <c r="A88" s="34"/>
      <c r="B88" s="30"/>
      <c r="C88" s="30">
        <v>16</v>
      </c>
      <c r="D88" s="30"/>
      <c r="E88" s="30"/>
      <c r="F88" s="31"/>
      <c r="G88" s="35">
        <v>3</v>
      </c>
      <c r="H88" s="34"/>
      <c r="I88" s="30"/>
      <c r="J88" s="30">
        <v>3</v>
      </c>
      <c r="K88" s="30"/>
      <c r="L88" s="30"/>
      <c r="M88" s="30"/>
      <c r="N88" s="38">
        <v>1</v>
      </c>
      <c r="O88" s="34"/>
      <c r="P88" s="30"/>
      <c r="Q88" s="30">
        <v>10</v>
      </c>
      <c r="R88" s="30"/>
      <c r="S88" s="30"/>
      <c r="T88" s="30"/>
      <c r="U88" s="38"/>
      <c r="V88" s="34"/>
      <c r="W88" s="30"/>
      <c r="X88" s="30">
        <v>3</v>
      </c>
      <c r="Y88" s="30"/>
      <c r="Z88" s="30"/>
      <c r="AA88" s="30"/>
      <c r="AB88" s="35">
        <v>2</v>
      </c>
      <c r="AD88" s="27">
        <f>IF(ISNUMBER(INDEX($A88:$AB88, MATCH(داشبرد!$D$5, $A$2:$AB$2, 0))), INDEX($A88:$AB88, MATCH(داشبرد!$D$5, $A$2:$AB$2, 0)), NA())</f>
        <v>3</v>
      </c>
    </row>
    <row r="89" spans="1:30" x14ac:dyDescent="0.3">
      <c r="A89" s="34"/>
      <c r="B89" s="30"/>
      <c r="C89" s="30">
        <v>11</v>
      </c>
      <c r="D89" s="30"/>
      <c r="E89" s="30"/>
      <c r="F89" s="31"/>
      <c r="G89" s="35">
        <v>3</v>
      </c>
      <c r="H89" s="34"/>
      <c r="I89" s="30"/>
      <c r="J89" s="30">
        <v>7</v>
      </c>
      <c r="K89" s="30"/>
      <c r="L89" s="30"/>
      <c r="M89" s="30"/>
      <c r="N89" s="38">
        <v>1</v>
      </c>
      <c r="O89" s="34"/>
      <c r="P89" s="30"/>
      <c r="Q89" s="30">
        <v>1</v>
      </c>
      <c r="R89" s="30"/>
      <c r="S89" s="30"/>
      <c r="T89" s="30"/>
      <c r="U89" s="38"/>
      <c r="V89" s="34"/>
      <c r="W89" s="30"/>
      <c r="X89" s="30">
        <v>3</v>
      </c>
      <c r="Y89" s="30"/>
      <c r="Z89" s="30"/>
      <c r="AA89" s="30"/>
      <c r="AB89" s="35">
        <v>2</v>
      </c>
      <c r="AD89" s="27">
        <f>IF(ISNUMBER(INDEX($A89:$AB89, MATCH(داشبرد!$D$5, $A$2:$AB$2, 0))), INDEX($A89:$AB89, MATCH(داشبرد!$D$5, $A$2:$AB$2, 0)), NA())</f>
        <v>3</v>
      </c>
    </row>
    <row r="90" spans="1:30" x14ac:dyDescent="0.3">
      <c r="A90" s="34"/>
      <c r="B90" s="30"/>
      <c r="C90" s="30">
        <v>10</v>
      </c>
      <c r="D90" s="30"/>
      <c r="E90" s="30"/>
      <c r="F90" s="31"/>
      <c r="G90" s="35">
        <v>12</v>
      </c>
      <c r="H90" s="34"/>
      <c r="I90" s="30"/>
      <c r="J90" s="30">
        <v>7</v>
      </c>
      <c r="K90" s="30"/>
      <c r="L90" s="30"/>
      <c r="M90" s="30"/>
      <c r="N90" s="38">
        <v>6</v>
      </c>
      <c r="O90" s="34"/>
      <c r="P90" s="30"/>
      <c r="Q90" s="30">
        <v>1</v>
      </c>
      <c r="R90" s="30"/>
      <c r="S90" s="30"/>
      <c r="T90" s="30"/>
      <c r="U90" s="38"/>
      <c r="V90" s="34"/>
      <c r="W90" s="30"/>
      <c r="X90" s="30">
        <v>2</v>
      </c>
      <c r="Y90" s="30"/>
      <c r="Z90" s="30"/>
      <c r="AA90" s="30"/>
      <c r="AB90" s="35">
        <v>4</v>
      </c>
      <c r="AD90" s="27">
        <f>IF(ISNUMBER(INDEX($A90:$AB90, MATCH(داشبرد!$D$5, $A$2:$AB$2, 0))), INDEX($A90:$AB90, MATCH(داشبرد!$D$5, $A$2:$AB$2, 0)), NA())</f>
        <v>12</v>
      </c>
    </row>
    <row r="91" spans="1:30" x14ac:dyDescent="0.3">
      <c r="A91" s="34"/>
      <c r="B91" s="30"/>
      <c r="C91" s="30">
        <v>9</v>
      </c>
      <c r="D91" s="30"/>
      <c r="E91" s="30"/>
      <c r="F91" s="31"/>
      <c r="G91" s="35">
        <v>12</v>
      </c>
      <c r="H91" s="34"/>
      <c r="I91" s="30"/>
      <c r="J91" s="30">
        <v>4</v>
      </c>
      <c r="K91" s="30"/>
      <c r="L91" s="30"/>
      <c r="M91" s="30"/>
      <c r="N91" s="38">
        <v>6</v>
      </c>
      <c r="O91" s="34"/>
      <c r="P91" s="30"/>
      <c r="Q91" s="30">
        <v>1</v>
      </c>
      <c r="R91" s="30"/>
      <c r="S91" s="30"/>
      <c r="T91" s="30"/>
      <c r="U91" s="38"/>
      <c r="V91" s="34"/>
      <c r="W91" s="30"/>
      <c r="X91" s="30">
        <v>4</v>
      </c>
      <c r="Y91" s="30"/>
      <c r="Z91" s="30"/>
      <c r="AA91" s="30"/>
      <c r="AB91" s="35">
        <v>4</v>
      </c>
      <c r="AD91" s="27">
        <f>IF(ISNUMBER(INDEX($A91:$AB91, MATCH(داشبرد!$D$5, $A$2:$AB$2, 0))), INDEX($A91:$AB91, MATCH(داشبرد!$D$5, $A$2:$AB$2, 0)), NA())</f>
        <v>12</v>
      </c>
    </row>
    <row r="92" spans="1:30" x14ac:dyDescent="0.3">
      <c r="A92" s="34"/>
      <c r="B92" s="30"/>
      <c r="C92" s="30">
        <v>8</v>
      </c>
      <c r="D92" s="30"/>
      <c r="E92" s="30"/>
      <c r="F92" s="31"/>
      <c r="G92" s="35">
        <v>12</v>
      </c>
      <c r="H92" s="34"/>
      <c r="I92" s="30"/>
      <c r="J92" s="30">
        <v>4</v>
      </c>
      <c r="K92" s="30"/>
      <c r="L92" s="30"/>
      <c r="M92" s="30"/>
      <c r="N92" s="38">
        <v>6</v>
      </c>
      <c r="O92" s="34"/>
      <c r="P92" s="30"/>
      <c r="Q92" s="30">
        <v>1</v>
      </c>
      <c r="R92" s="30"/>
      <c r="S92" s="30"/>
      <c r="T92" s="30"/>
      <c r="U92" s="38"/>
      <c r="V92" s="34"/>
      <c r="W92" s="30"/>
      <c r="X92" s="30">
        <v>3</v>
      </c>
      <c r="Y92" s="30"/>
      <c r="Z92" s="30"/>
      <c r="AA92" s="30"/>
      <c r="AB92" s="35">
        <v>4</v>
      </c>
      <c r="AD92" s="27">
        <f>IF(ISNUMBER(INDEX($A92:$AB92, MATCH(داشبرد!$D$5, $A$2:$AB$2, 0))), INDEX($A92:$AB92, MATCH(داشبرد!$D$5, $A$2:$AB$2, 0)), NA())</f>
        <v>12</v>
      </c>
    </row>
    <row r="93" spans="1:30" x14ac:dyDescent="0.3">
      <c r="A93" s="34"/>
      <c r="B93" s="30"/>
      <c r="C93" s="30">
        <v>9</v>
      </c>
      <c r="D93" s="30"/>
      <c r="E93" s="30"/>
      <c r="F93" s="31"/>
      <c r="G93" s="35">
        <v>18</v>
      </c>
      <c r="H93" s="34"/>
      <c r="I93" s="30"/>
      <c r="J93" s="30">
        <v>4</v>
      </c>
      <c r="K93" s="30"/>
      <c r="L93" s="30"/>
      <c r="M93" s="30"/>
      <c r="N93" s="38">
        <v>6</v>
      </c>
      <c r="O93" s="34"/>
      <c r="P93" s="30"/>
      <c r="Q93" s="30">
        <v>0</v>
      </c>
      <c r="R93" s="30"/>
      <c r="S93" s="30"/>
      <c r="T93" s="30"/>
      <c r="U93" s="38"/>
      <c r="V93" s="34"/>
      <c r="W93" s="30"/>
      <c r="X93" s="30">
        <v>5</v>
      </c>
      <c r="Y93" s="30"/>
      <c r="Z93" s="30"/>
      <c r="AA93" s="30"/>
      <c r="AB93" s="35">
        <v>3</v>
      </c>
      <c r="AD93" s="27">
        <f>IF(ISNUMBER(INDEX($A93:$AB93, MATCH(داشبرد!$D$5, $A$2:$AB$2, 0))), INDEX($A93:$AB93, MATCH(داشبرد!$D$5, $A$2:$AB$2, 0)), NA())</f>
        <v>18</v>
      </c>
    </row>
    <row r="94" spans="1:30" x14ac:dyDescent="0.3">
      <c r="A94" s="34"/>
      <c r="B94" s="30"/>
      <c r="C94" s="30">
        <v>13</v>
      </c>
      <c r="D94" s="30"/>
      <c r="E94" s="30"/>
      <c r="F94" s="31"/>
      <c r="G94" s="35">
        <v>18</v>
      </c>
      <c r="H94" s="34"/>
      <c r="I94" s="30"/>
      <c r="J94" s="30">
        <v>8</v>
      </c>
      <c r="K94" s="30"/>
      <c r="L94" s="30"/>
      <c r="M94" s="30"/>
      <c r="N94" s="38">
        <v>6</v>
      </c>
      <c r="O94" s="34"/>
      <c r="P94" s="30"/>
      <c r="Q94" s="30">
        <v>2</v>
      </c>
      <c r="R94" s="30"/>
      <c r="S94" s="30"/>
      <c r="T94" s="30"/>
      <c r="U94" s="38"/>
      <c r="V94" s="34"/>
      <c r="W94" s="30"/>
      <c r="X94" s="30">
        <v>3</v>
      </c>
      <c r="Y94" s="30"/>
      <c r="Z94" s="30"/>
      <c r="AA94" s="30"/>
      <c r="AB94" s="35">
        <v>3</v>
      </c>
      <c r="AD94" s="27">
        <f>IF(ISNUMBER(INDEX($A94:$AB94, MATCH(داشبرد!$D$5, $A$2:$AB$2, 0))), INDEX($A94:$AB94, MATCH(داشبرد!$D$5, $A$2:$AB$2, 0)), NA())</f>
        <v>18</v>
      </c>
    </row>
    <row r="95" spans="1:30" x14ac:dyDescent="0.3">
      <c r="A95" s="34"/>
      <c r="B95" s="30"/>
      <c r="C95" s="30">
        <v>13</v>
      </c>
      <c r="D95" s="30"/>
      <c r="E95" s="30"/>
      <c r="F95" s="31"/>
      <c r="G95" s="35">
        <v>20</v>
      </c>
      <c r="H95" s="34"/>
      <c r="I95" s="30"/>
      <c r="J95" s="30">
        <v>8</v>
      </c>
      <c r="K95" s="30"/>
      <c r="L95" s="30"/>
      <c r="M95" s="30"/>
      <c r="N95" s="38">
        <v>11</v>
      </c>
      <c r="O95" s="34"/>
      <c r="P95" s="30"/>
      <c r="Q95" s="30">
        <v>2</v>
      </c>
      <c r="R95" s="30"/>
      <c r="S95" s="30"/>
      <c r="T95" s="30"/>
      <c r="U95" s="38"/>
      <c r="V95" s="34"/>
      <c r="W95" s="30"/>
      <c r="X95" s="30">
        <v>3</v>
      </c>
      <c r="Y95" s="30"/>
      <c r="Z95" s="30"/>
      <c r="AA95" s="30"/>
      <c r="AB95" s="35">
        <v>2</v>
      </c>
      <c r="AD95" s="27">
        <f>IF(ISNUMBER(INDEX($A95:$AB95, MATCH(داشبرد!$D$5, $A$2:$AB$2, 0))), INDEX($A95:$AB95, MATCH(داشبرد!$D$5, $A$2:$AB$2, 0)), NA())</f>
        <v>20</v>
      </c>
    </row>
    <row r="96" spans="1:30" x14ac:dyDescent="0.3">
      <c r="A96" s="34"/>
      <c r="B96" s="30"/>
      <c r="C96" s="30">
        <v>14</v>
      </c>
      <c r="D96" s="30"/>
      <c r="E96" s="30"/>
      <c r="F96" s="31"/>
      <c r="G96" s="35">
        <v>20</v>
      </c>
      <c r="H96" s="34"/>
      <c r="I96" s="30"/>
      <c r="J96" s="30">
        <v>8</v>
      </c>
      <c r="K96" s="30"/>
      <c r="L96" s="30"/>
      <c r="M96" s="30"/>
      <c r="N96" s="38">
        <v>11</v>
      </c>
      <c r="O96" s="34"/>
      <c r="P96" s="30"/>
      <c r="Q96" s="30">
        <v>2</v>
      </c>
      <c r="R96" s="30"/>
      <c r="S96" s="30"/>
      <c r="T96" s="30"/>
      <c r="U96" s="38"/>
      <c r="V96" s="34"/>
      <c r="W96" s="30"/>
      <c r="X96" s="30">
        <v>4</v>
      </c>
      <c r="Y96" s="30"/>
      <c r="Z96" s="30"/>
      <c r="AA96" s="30"/>
      <c r="AB96" s="35">
        <v>2</v>
      </c>
      <c r="AD96" s="27">
        <f>IF(ISNUMBER(INDEX($A96:$AB96, MATCH(داشبرد!$D$5, $A$2:$AB$2, 0))), INDEX($A96:$AB96, MATCH(داشبرد!$D$5, $A$2:$AB$2, 0)), NA())</f>
        <v>20</v>
      </c>
    </row>
    <row r="97" spans="1:30" x14ac:dyDescent="0.3">
      <c r="A97" s="34"/>
      <c r="B97" s="30"/>
      <c r="C97" s="30">
        <v>13</v>
      </c>
      <c r="D97" s="30"/>
      <c r="E97" s="30"/>
      <c r="F97" s="31"/>
      <c r="G97" s="35">
        <v>21</v>
      </c>
      <c r="H97" s="34"/>
      <c r="I97" s="30"/>
      <c r="J97" s="30">
        <v>8</v>
      </c>
      <c r="K97" s="30"/>
      <c r="L97" s="30"/>
      <c r="M97" s="30"/>
      <c r="N97" s="38">
        <v>11</v>
      </c>
      <c r="O97" s="34"/>
      <c r="P97" s="30"/>
      <c r="Q97" s="30">
        <v>2</v>
      </c>
      <c r="R97" s="30"/>
      <c r="S97" s="30"/>
      <c r="T97" s="30"/>
      <c r="U97" s="38"/>
      <c r="V97" s="34"/>
      <c r="W97" s="30"/>
      <c r="X97" s="30">
        <v>3</v>
      </c>
      <c r="Y97" s="30"/>
      <c r="Z97" s="30"/>
      <c r="AA97" s="30"/>
      <c r="AB97" s="35">
        <v>3</v>
      </c>
      <c r="AD97" s="27">
        <f>IF(ISNUMBER(INDEX($A97:$AB97, MATCH(داشبرد!$D$5, $A$2:$AB$2, 0))), INDEX($A97:$AB97, MATCH(داشبرد!$D$5, $A$2:$AB$2, 0)), NA())</f>
        <v>21</v>
      </c>
    </row>
    <row r="98" spans="1:30" x14ac:dyDescent="0.3">
      <c r="A98" s="34"/>
      <c r="B98" s="30"/>
      <c r="C98" s="30">
        <v>7</v>
      </c>
      <c r="D98" s="30"/>
      <c r="E98" s="30"/>
      <c r="F98" s="31"/>
      <c r="G98" s="35">
        <v>11</v>
      </c>
      <c r="H98" s="34"/>
      <c r="I98" s="30"/>
      <c r="J98" s="30">
        <v>3</v>
      </c>
      <c r="K98" s="30"/>
      <c r="L98" s="30"/>
      <c r="M98" s="30"/>
      <c r="N98" s="38">
        <v>2</v>
      </c>
      <c r="O98" s="34"/>
      <c r="P98" s="30"/>
      <c r="Q98" s="30">
        <v>1</v>
      </c>
      <c r="R98" s="30"/>
      <c r="S98" s="30"/>
      <c r="T98" s="30"/>
      <c r="U98" s="38"/>
      <c r="V98" s="34"/>
      <c r="W98" s="30"/>
      <c r="X98" s="30">
        <v>3</v>
      </c>
      <c r="Y98" s="30"/>
      <c r="Z98" s="30"/>
      <c r="AA98" s="30"/>
      <c r="AB98" s="35">
        <v>3</v>
      </c>
      <c r="AD98" s="27">
        <f>IF(ISNUMBER(INDEX($A98:$AB98, MATCH(داشبرد!$D$5, $A$2:$AB$2, 0))), INDEX($A98:$AB98, MATCH(داشبرد!$D$5, $A$2:$AB$2, 0)), NA())</f>
        <v>11</v>
      </c>
    </row>
    <row r="99" spans="1:30" x14ac:dyDescent="0.3">
      <c r="A99" s="34"/>
      <c r="B99" s="30"/>
      <c r="C99" s="30">
        <v>7</v>
      </c>
      <c r="D99" s="30"/>
      <c r="E99" s="30"/>
      <c r="F99" s="31"/>
      <c r="G99" s="35">
        <v>10</v>
      </c>
      <c r="H99" s="34"/>
      <c r="I99" s="30"/>
      <c r="J99" s="30">
        <v>3</v>
      </c>
      <c r="K99" s="30"/>
      <c r="L99" s="30"/>
      <c r="M99" s="30"/>
      <c r="N99" s="38">
        <v>2</v>
      </c>
      <c r="O99" s="34"/>
      <c r="P99" s="30"/>
      <c r="Q99" s="30">
        <v>1</v>
      </c>
      <c r="R99" s="30"/>
      <c r="S99" s="30"/>
      <c r="T99" s="30"/>
      <c r="U99" s="38"/>
      <c r="V99" s="34"/>
      <c r="W99" s="30"/>
      <c r="X99" s="30">
        <v>3</v>
      </c>
      <c r="Y99" s="30"/>
      <c r="Z99" s="30"/>
      <c r="AA99" s="30"/>
      <c r="AB99" s="35">
        <v>2</v>
      </c>
      <c r="AD99" s="27">
        <f>IF(ISNUMBER(INDEX($A99:$AB99, MATCH(داشبرد!$D$5, $A$2:$AB$2, 0))), INDEX($A99:$AB99, MATCH(داشبرد!$D$5, $A$2:$AB$2, 0)), NA())</f>
        <v>10</v>
      </c>
    </row>
    <row r="100" spans="1:30" x14ac:dyDescent="0.3">
      <c r="A100" s="34"/>
      <c r="B100" s="30"/>
      <c r="C100" s="30">
        <v>20</v>
      </c>
      <c r="D100" s="30"/>
      <c r="E100" s="30"/>
      <c r="F100" s="31"/>
      <c r="G100" s="35">
        <v>11</v>
      </c>
      <c r="H100" s="34"/>
      <c r="I100" s="30"/>
      <c r="J100" s="30">
        <v>16</v>
      </c>
      <c r="K100" s="30"/>
      <c r="L100" s="30"/>
      <c r="M100" s="30"/>
      <c r="N100" s="38">
        <v>2</v>
      </c>
      <c r="O100" s="34"/>
      <c r="P100" s="30"/>
      <c r="Q100" s="30">
        <v>2</v>
      </c>
      <c r="R100" s="30"/>
      <c r="S100" s="30"/>
      <c r="T100" s="30"/>
      <c r="U100" s="38"/>
      <c r="V100" s="34"/>
      <c r="W100" s="30"/>
      <c r="X100" s="30">
        <v>2</v>
      </c>
      <c r="Y100" s="30"/>
      <c r="Z100" s="30"/>
      <c r="AA100" s="30"/>
      <c r="AB100" s="35">
        <v>3</v>
      </c>
      <c r="AD100" s="27">
        <f>IF(ISNUMBER(INDEX($A100:$AB100, MATCH(داشبرد!$D$5, $A$2:$AB$2, 0))), INDEX($A100:$AB100, MATCH(داشبرد!$D$5, $A$2:$AB$2, 0)), NA())</f>
        <v>11</v>
      </c>
    </row>
    <row r="101" spans="1:30" x14ac:dyDescent="0.3">
      <c r="A101" s="34"/>
      <c r="B101" s="30"/>
      <c r="C101" s="30">
        <v>20</v>
      </c>
      <c r="D101" s="30"/>
      <c r="E101" s="30"/>
      <c r="F101" s="31"/>
      <c r="G101" s="35">
        <v>20</v>
      </c>
      <c r="H101" s="34"/>
      <c r="I101" s="30"/>
      <c r="J101" s="30">
        <v>16</v>
      </c>
      <c r="K101" s="30"/>
      <c r="L101" s="30"/>
      <c r="M101" s="30"/>
      <c r="N101" s="38">
        <v>13</v>
      </c>
      <c r="O101" s="34"/>
      <c r="P101" s="30"/>
      <c r="Q101" s="30">
        <v>2</v>
      </c>
      <c r="R101" s="30"/>
      <c r="S101" s="30"/>
      <c r="T101" s="30"/>
      <c r="U101" s="38"/>
      <c r="V101" s="34"/>
      <c r="W101" s="30"/>
      <c r="X101" s="30">
        <v>2</v>
      </c>
      <c r="Y101" s="30"/>
      <c r="Z101" s="30"/>
      <c r="AA101" s="30"/>
      <c r="AB101" s="35">
        <v>4</v>
      </c>
      <c r="AD101" s="27">
        <f>IF(ISNUMBER(INDEX($A101:$AB101, MATCH(داشبرد!$D$5, $A$2:$AB$2, 0))), INDEX($A101:$AB101, MATCH(داشبرد!$D$5, $A$2:$AB$2, 0)), NA())</f>
        <v>20</v>
      </c>
    </row>
    <row r="102" spans="1:30" x14ac:dyDescent="0.3">
      <c r="A102" s="34"/>
      <c r="B102" s="30"/>
      <c r="C102" s="30">
        <v>23</v>
      </c>
      <c r="D102" s="30"/>
      <c r="E102" s="30"/>
      <c r="F102" s="31"/>
      <c r="G102" s="35">
        <v>19</v>
      </c>
      <c r="H102" s="34"/>
      <c r="I102" s="30"/>
      <c r="J102" s="30">
        <v>16</v>
      </c>
      <c r="K102" s="30"/>
      <c r="L102" s="30"/>
      <c r="M102" s="30"/>
      <c r="N102" s="38">
        <v>13</v>
      </c>
      <c r="O102" s="34"/>
      <c r="P102" s="30"/>
      <c r="Q102" s="30">
        <v>3</v>
      </c>
      <c r="R102" s="30"/>
      <c r="S102" s="30"/>
      <c r="T102" s="30"/>
      <c r="U102" s="38"/>
      <c r="V102" s="34"/>
      <c r="W102" s="30"/>
      <c r="X102" s="30">
        <v>4</v>
      </c>
      <c r="Y102" s="30"/>
      <c r="Z102" s="30"/>
      <c r="AA102" s="30"/>
      <c r="AB102" s="35">
        <v>3</v>
      </c>
      <c r="AD102" s="27">
        <f>IF(ISNUMBER(INDEX($A102:$AB102, MATCH(داشبرد!$D$5, $A$2:$AB$2, 0))), INDEX($A102:$AB102, MATCH(داشبرد!$D$5, $A$2:$AB$2, 0)), NA())</f>
        <v>19</v>
      </c>
    </row>
    <row r="103" spans="1:30" x14ac:dyDescent="0.3">
      <c r="A103" s="34"/>
      <c r="B103" s="30"/>
      <c r="C103" s="30">
        <v>21</v>
      </c>
      <c r="D103" s="30"/>
      <c r="E103" s="30"/>
      <c r="F103" s="31"/>
      <c r="G103" s="35">
        <v>16</v>
      </c>
      <c r="H103" s="34"/>
      <c r="I103" s="30"/>
      <c r="J103" s="30">
        <v>16</v>
      </c>
      <c r="K103" s="30"/>
      <c r="L103" s="30"/>
      <c r="M103" s="30"/>
      <c r="N103" s="38">
        <v>13</v>
      </c>
      <c r="O103" s="34"/>
      <c r="P103" s="30"/>
      <c r="Q103" s="30">
        <v>3</v>
      </c>
      <c r="R103" s="30"/>
      <c r="S103" s="30"/>
      <c r="T103" s="30"/>
      <c r="U103" s="38"/>
      <c r="V103" s="34"/>
      <c r="W103" s="30"/>
      <c r="X103" s="30">
        <v>2</v>
      </c>
      <c r="Y103" s="30"/>
      <c r="Z103" s="30"/>
      <c r="AA103" s="30"/>
      <c r="AB103" s="35">
        <v>2</v>
      </c>
      <c r="AD103" s="27">
        <f>IF(ISNUMBER(INDEX($A103:$AB103, MATCH(داشبرد!$D$5, $A$2:$AB$2, 0))), INDEX($A103:$AB103, MATCH(داشبرد!$D$5, $A$2:$AB$2, 0)), NA())</f>
        <v>16</v>
      </c>
    </row>
    <row r="104" spans="1:30" x14ac:dyDescent="0.3">
      <c r="A104" s="34"/>
      <c r="B104" s="30"/>
      <c r="C104" s="30">
        <v>9</v>
      </c>
      <c r="D104" s="30"/>
      <c r="E104" s="30"/>
      <c r="F104" s="31"/>
      <c r="G104" s="35">
        <v>17</v>
      </c>
      <c r="H104" s="34"/>
      <c r="I104" s="30"/>
      <c r="J104" s="30">
        <v>5</v>
      </c>
      <c r="K104" s="30"/>
      <c r="L104" s="30"/>
      <c r="M104" s="30"/>
      <c r="N104" s="38">
        <v>13</v>
      </c>
      <c r="O104" s="34"/>
      <c r="P104" s="30"/>
      <c r="Q104" s="30">
        <v>1</v>
      </c>
      <c r="R104" s="30"/>
      <c r="S104" s="30"/>
      <c r="T104" s="30"/>
      <c r="U104" s="38"/>
      <c r="V104" s="34"/>
      <c r="W104" s="30"/>
      <c r="X104" s="30">
        <v>3</v>
      </c>
      <c r="Y104" s="30"/>
      <c r="Z104" s="30"/>
      <c r="AA104" s="30"/>
      <c r="AB104" s="35">
        <v>3</v>
      </c>
      <c r="AD104" s="27">
        <f>IF(ISNUMBER(INDEX($A104:$AB104, MATCH(داشبرد!$D$5, $A$2:$AB$2, 0))), INDEX($A104:$AB104, MATCH(داشبرد!$D$5, $A$2:$AB$2, 0)), NA())</f>
        <v>17</v>
      </c>
    </row>
    <row r="105" spans="1:30" x14ac:dyDescent="0.3">
      <c r="A105" s="36"/>
      <c r="B105" s="32"/>
      <c r="C105" s="32">
        <v>11</v>
      </c>
      <c r="D105" s="32"/>
      <c r="E105" s="32"/>
      <c r="F105" s="33"/>
      <c r="G105" s="35">
        <v>8</v>
      </c>
      <c r="H105" s="34"/>
      <c r="I105" s="30"/>
      <c r="J105" s="30">
        <v>5</v>
      </c>
      <c r="K105" s="30"/>
      <c r="L105" s="30"/>
      <c r="M105" s="30"/>
      <c r="N105" s="38">
        <v>5</v>
      </c>
      <c r="O105" s="34"/>
      <c r="P105" s="30"/>
      <c r="Q105" s="30">
        <v>1</v>
      </c>
      <c r="R105" s="30"/>
      <c r="S105" s="30"/>
      <c r="T105" s="30"/>
      <c r="U105" s="38"/>
      <c r="V105" s="34"/>
      <c r="W105" s="30"/>
      <c r="X105" s="30">
        <v>5</v>
      </c>
      <c r="Y105" s="30"/>
      <c r="Z105" s="30"/>
      <c r="AA105" s="30"/>
      <c r="AB105" s="35">
        <v>3</v>
      </c>
      <c r="AD105" s="27">
        <f>IF(ISNUMBER(INDEX($A105:$AB105, MATCH(داشبرد!$D$5, $A$2:$AB$2, 0))), INDEX($A105:$AB105, MATCH(داشبرد!$D$5, $A$2:$AB$2, 0)), NA())</f>
        <v>8</v>
      </c>
    </row>
    <row r="106" spans="1:30" x14ac:dyDescent="0.3">
      <c r="A106" s="34"/>
      <c r="B106" s="30"/>
      <c r="C106" s="30"/>
      <c r="D106" s="30"/>
      <c r="E106" s="30"/>
      <c r="F106" s="30"/>
      <c r="G106" s="35">
        <v>7</v>
      </c>
      <c r="H106" s="34"/>
      <c r="I106" s="30"/>
      <c r="J106" s="30"/>
      <c r="K106" s="30"/>
      <c r="L106" s="30"/>
      <c r="M106" s="30"/>
      <c r="N106" s="38">
        <v>5</v>
      </c>
      <c r="O106" s="34"/>
      <c r="P106" s="30"/>
      <c r="Q106" s="30"/>
      <c r="R106" s="30"/>
      <c r="S106" s="30"/>
      <c r="T106" s="30"/>
      <c r="U106" s="38"/>
      <c r="V106" s="34"/>
      <c r="W106" s="30"/>
      <c r="X106" s="30"/>
      <c r="Y106" s="30"/>
      <c r="Z106" s="30"/>
      <c r="AA106" s="30"/>
      <c r="AB106" s="35">
        <v>2</v>
      </c>
      <c r="AD106" s="27">
        <f>IF(ISNUMBER(INDEX($A106:$AB106, MATCH(داشبرد!$D$5, $A$2:$AB$2, 0))), INDEX($A106:$AB106, MATCH(داشبرد!$D$5, $A$2:$AB$2, 0)), NA())</f>
        <v>7</v>
      </c>
    </row>
    <row r="107" spans="1:30" x14ac:dyDescent="0.3">
      <c r="A107" s="34"/>
      <c r="B107" s="30"/>
      <c r="C107" s="30"/>
      <c r="D107" s="30"/>
      <c r="E107" s="30"/>
      <c r="F107" s="30"/>
      <c r="G107" s="35">
        <v>8</v>
      </c>
      <c r="H107" s="34"/>
      <c r="I107" s="30"/>
      <c r="J107" s="30"/>
      <c r="K107" s="30"/>
      <c r="L107" s="30"/>
      <c r="M107" s="30"/>
      <c r="N107" s="38">
        <v>5</v>
      </c>
      <c r="O107" s="34"/>
      <c r="P107" s="30"/>
      <c r="Q107" s="30"/>
      <c r="R107" s="30"/>
      <c r="S107" s="30"/>
      <c r="T107" s="30"/>
      <c r="U107" s="38"/>
      <c r="V107" s="34"/>
      <c r="W107" s="30"/>
      <c r="X107" s="30"/>
      <c r="Y107" s="30"/>
      <c r="Z107" s="30"/>
      <c r="AA107" s="30"/>
      <c r="AB107" s="35">
        <v>3</v>
      </c>
      <c r="AD107" s="27">
        <f>IF(ISNUMBER(INDEX($A107:$AB107, MATCH(داشبرد!$D$5, $A$2:$AB$2, 0))), INDEX($A107:$AB107, MATCH(داشبرد!$D$5, $A$2:$AB$2, 0)), NA())</f>
        <v>8</v>
      </c>
    </row>
    <row r="108" spans="1:30" x14ac:dyDescent="0.3">
      <c r="A108" s="34"/>
      <c r="B108" s="30"/>
      <c r="C108" s="30"/>
      <c r="D108" s="30"/>
      <c r="E108" s="30"/>
      <c r="F108" s="30"/>
      <c r="G108" s="35">
        <v>8</v>
      </c>
      <c r="H108" s="34"/>
      <c r="I108" s="30"/>
      <c r="J108" s="30"/>
      <c r="K108" s="30"/>
      <c r="L108" s="30"/>
      <c r="M108" s="30"/>
      <c r="N108" s="38">
        <v>5</v>
      </c>
      <c r="O108" s="34"/>
      <c r="P108" s="30"/>
      <c r="Q108" s="30"/>
      <c r="R108" s="30"/>
      <c r="S108" s="30"/>
      <c r="T108" s="30"/>
      <c r="U108" s="38"/>
      <c r="V108" s="34"/>
      <c r="W108" s="30"/>
      <c r="X108" s="30"/>
      <c r="Y108" s="30"/>
      <c r="Z108" s="30"/>
      <c r="AA108" s="30"/>
      <c r="AB108" s="35">
        <v>3</v>
      </c>
      <c r="AD108" s="27">
        <f>IF(ISNUMBER(INDEX($A108:$AB108, MATCH(داشبرد!$D$5, $A$2:$AB$2, 0))), INDEX($A108:$AB108, MATCH(داشبرد!$D$5, $A$2:$AB$2, 0)), NA())</f>
        <v>8</v>
      </c>
    </row>
    <row r="109" spans="1:30" x14ac:dyDescent="0.3">
      <c r="A109" s="34"/>
      <c r="B109" s="30"/>
      <c r="C109" s="30"/>
      <c r="D109" s="30"/>
      <c r="E109" s="30"/>
      <c r="F109" s="30"/>
      <c r="G109" s="35">
        <v>5</v>
      </c>
      <c r="H109" s="34"/>
      <c r="I109" s="30"/>
      <c r="J109" s="30"/>
      <c r="K109" s="30"/>
      <c r="L109" s="30"/>
      <c r="M109" s="30"/>
      <c r="N109" s="38">
        <v>2</v>
      </c>
      <c r="O109" s="34"/>
      <c r="P109" s="30"/>
      <c r="Q109" s="30"/>
      <c r="R109" s="30"/>
      <c r="S109" s="30"/>
      <c r="T109" s="30"/>
      <c r="U109" s="38"/>
      <c r="V109" s="34"/>
      <c r="W109" s="30"/>
      <c r="X109" s="30"/>
      <c r="Y109" s="30"/>
      <c r="Z109" s="30"/>
      <c r="AA109" s="30"/>
      <c r="AB109" s="35">
        <v>2</v>
      </c>
      <c r="AD109" s="27">
        <f>IF(ISNUMBER(INDEX($A109:$AB109, MATCH(داشبرد!$D$5, $A$2:$AB$2, 0))), INDEX($A109:$AB109, MATCH(داشبرد!$D$5, $A$2:$AB$2, 0)), NA())</f>
        <v>5</v>
      </c>
    </row>
    <row r="110" spans="1:30" x14ac:dyDescent="0.3">
      <c r="A110" s="34"/>
      <c r="B110" s="30"/>
      <c r="C110" s="30"/>
      <c r="D110" s="30"/>
      <c r="E110" s="30"/>
      <c r="F110" s="30"/>
      <c r="G110" s="35">
        <v>5</v>
      </c>
      <c r="H110" s="34"/>
      <c r="I110" s="30"/>
      <c r="J110" s="30"/>
      <c r="K110" s="30"/>
      <c r="L110" s="30"/>
      <c r="M110" s="30"/>
      <c r="N110" s="38">
        <v>2</v>
      </c>
      <c r="O110" s="34"/>
      <c r="P110" s="30"/>
      <c r="Q110" s="30"/>
      <c r="R110" s="30"/>
      <c r="S110" s="30"/>
      <c r="T110" s="30"/>
      <c r="U110" s="38"/>
      <c r="V110" s="34"/>
      <c r="W110" s="30"/>
      <c r="X110" s="30"/>
      <c r="Y110" s="30"/>
      <c r="Z110" s="30"/>
      <c r="AA110" s="30"/>
      <c r="AB110" s="35">
        <v>2</v>
      </c>
      <c r="AD110" s="27">
        <f>IF(ISNUMBER(INDEX($A110:$AB110, MATCH(داشبرد!$D$5, $A$2:$AB$2, 0))), INDEX($A110:$AB110, MATCH(داشبرد!$D$5, $A$2:$AB$2, 0)), NA())</f>
        <v>5</v>
      </c>
    </row>
    <row r="111" spans="1:30" x14ac:dyDescent="0.3">
      <c r="A111" s="34"/>
      <c r="B111" s="30"/>
      <c r="C111" s="30"/>
      <c r="D111" s="30"/>
      <c r="E111" s="30"/>
      <c r="F111" s="30"/>
      <c r="G111" s="35">
        <v>5</v>
      </c>
      <c r="H111" s="34"/>
      <c r="I111" s="30"/>
      <c r="J111" s="30"/>
      <c r="K111" s="30"/>
      <c r="L111" s="30"/>
      <c r="M111" s="30"/>
      <c r="N111" s="38">
        <v>2</v>
      </c>
      <c r="O111" s="34"/>
      <c r="P111" s="30"/>
      <c r="Q111" s="30"/>
      <c r="R111" s="30"/>
      <c r="S111" s="30"/>
      <c r="T111" s="30"/>
      <c r="U111" s="38"/>
      <c r="V111" s="34"/>
      <c r="W111" s="30"/>
      <c r="X111" s="30"/>
      <c r="Y111" s="30"/>
      <c r="Z111" s="30"/>
      <c r="AA111" s="30"/>
      <c r="AB111" s="35">
        <v>3</v>
      </c>
      <c r="AD111" s="27">
        <f>IF(ISNUMBER(INDEX($A111:$AB111, MATCH(داشبرد!$D$5, $A$2:$AB$2, 0))), INDEX($A111:$AB111, MATCH(داشبرد!$D$5, $A$2:$AB$2, 0)), NA())</f>
        <v>5</v>
      </c>
    </row>
    <row r="112" spans="1:30" x14ac:dyDescent="0.3">
      <c r="A112" s="34"/>
      <c r="B112" s="30"/>
      <c r="C112" s="30"/>
      <c r="D112" s="30"/>
      <c r="E112" s="30"/>
      <c r="F112" s="30"/>
      <c r="G112" s="35">
        <v>5</v>
      </c>
      <c r="H112" s="34"/>
      <c r="I112" s="30"/>
      <c r="J112" s="30"/>
      <c r="K112" s="30"/>
      <c r="L112" s="30"/>
      <c r="M112" s="30"/>
      <c r="N112" s="38">
        <v>2</v>
      </c>
      <c r="O112" s="34"/>
      <c r="P112" s="30"/>
      <c r="Q112" s="30"/>
      <c r="R112" s="30"/>
      <c r="S112" s="30"/>
      <c r="T112" s="30"/>
      <c r="U112" s="38"/>
      <c r="V112" s="34"/>
      <c r="W112" s="30"/>
      <c r="X112" s="30"/>
      <c r="Y112" s="30"/>
      <c r="Z112" s="30"/>
      <c r="AA112" s="30"/>
      <c r="AB112" s="35">
        <v>3</v>
      </c>
      <c r="AD112" s="27">
        <f>IF(ISNUMBER(INDEX($A112:$AB112, MATCH(داشبرد!$D$5, $A$2:$AB$2, 0))), INDEX($A112:$AB112, MATCH(داشبرد!$D$5, $A$2:$AB$2, 0)), NA())</f>
        <v>5</v>
      </c>
    </row>
    <row r="113" spans="1:30" x14ac:dyDescent="0.3">
      <c r="A113" s="34"/>
      <c r="B113" s="30"/>
      <c r="C113" s="30"/>
      <c r="D113" s="30"/>
      <c r="E113" s="30"/>
      <c r="F113" s="30"/>
      <c r="G113" s="35">
        <v>5</v>
      </c>
      <c r="H113" s="34"/>
      <c r="I113" s="30"/>
      <c r="J113" s="30"/>
      <c r="K113" s="30"/>
      <c r="L113" s="30"/>
      <c r="M113" s="30"/>
      <c r="N113" s="38">
        <v>2</v>
      </c>
      <c r="O113" s="34"/>
      <c r="P113" s="30"/>
      <c r="Q113" s="30"/>
      <c r="R113" s="30"/>
      <c r="S113" s="30"/>
      <c r="T113" s="30"/>
      <c r="U113" s="38"/>
      <c r="V113" s="34"/>
      <c r="W113" s="30"/>
      <c r="X113" s="30"/>
      <c r="Y113" s="30"/>
      <c r="Z113" s="30"/>
      <c r="AA113" s="30"/>
      <c r="AB113" s="35">
        <v>3</v>
      </c>
      <c r="AD113" s="27">
        <f>IF(ISNUMBER(INDEX($A113:$AB113, MATCH(داشبرد!$D$5, $A$2:$AB$2, 0))), INDEX($A113:$AB113, MATCH(داشبرد!$D$5, $A$2:$AB$2, 0)), NA())</f>
        <v>5</v>
      </c>
    </row>
    <row r="114" spans="1:30" x14ac:dyDescent="0.3">
      <c r="A114" s="34"/>
      <c r="B114" s="30"/>
      <c r="C114" s="30"/>
      <c r="D114" s="30"/>
      <c r="E114" s="30"/>
      <c r="F114" s="30"/>
      <c r="G114" s="35">
        <v>4</v>
      </c>
      <c r="H114" s="34"/>
      <c r="I114" s="30"/>
      <c r="J114" s="30"/>
      <c r="K114" s="30"/>
      <c r="L114" s="30"/>
      <c r="M114" s="30"/>
      <c r="N114" s="38">
        <v>2</v>
      </c>
      <c r="O114" s="34"/>
      <c r="P114" s="30"/>
      <c r="Q114" s="30"/>
      <c r="R114" s="30"/>
      <c r="S114" s="30"/>
      <c r="T114" s="30"/>
      <c r="U114" s="38"/>
      <c r="V114" s="34"/>
      <c r="W114" s="30"/>
      <c r="X114" s="30"/>
      <c r="Y114" s="30"/>
      <c r="Z114" s="30"/>
      <c r="AA114" s="30"/>
      <c r="AB114" s="35">
        <v>2</v>
      </c>
      <c r="AD114" s="27">
        <f>IF(ISNUMBER(INDEX($A114:$AB114, MATCH(داشبرد!$D$5, $A$2:$AB$2, 0))), INDEX($A114:$AB114, MATCH(داشبرد!$D$5, $A$2:$AB$2, 0)), NA())</f>
        <v>4</v>
      </c>
    </row>
    <row r="115" spans="1:30" x14ac:dyDescent="0.3">
      <c r="A115" s="34"/>
      <c r="B115" s="30"/>
      <c r="C115" s="30"/>
      <c r="D115" s="30"/>
      <c r="E115" s="30"/>
      <c r="F115" s="30"/>
      <c r="G115" s="35">
        <v>4</v>
      </c>
      <c r="H115" s="34"/>
      <c r="I115" s="30"/>
      <c r="J115" s="30"/>
      <c r="K115" s="30"/>
      <c r="L115" s="30"/>
      <c r="M115" s="30"/>
      <c r="N115" s="38">
        <v>2</v>
      </c>
      <c r="O115" s="34"/>
      <c r="P115" s="30"/>
      <c r="Q115" s="30"/>
      <c r="R115" s="30"/>
      <c r="S115" s="30"/>
      <c r="T115" s="30"/>
      <c r="U115" s="38"/>
      <c r="V115" s="34"/>
      <c r="W115" s="30"/>
      <c r="X115" s="30"/>
      <c r="Y115" s="30"/>
      <c r="Z115" s="30"/>
      <c r="AA115" s="30"/>
      <c r="AB115" s="35">
        <v>2</v>
      </c>
      <c r="AD115" s="27">
        <f>IF(ISNUMBER(INDEX($A115:$AB115, MATCH(داشبرد!$D$5, $A$2:$AB$2, 0))), INDEX($A115:$AB115, MATCH(داشبرد!$D$5, $A$2:$AB$2, 0)), NA())</f>
        <v>4</v>
      </c>
    </row>
    <row r="116" spans="1:30" x14ac:dyDescent="0.3">
      <c r="A116" s="34"/>
      <c r="B116" s="30"/>
      <c r="C116" s="30"/>
      <c r="D116" s="30"/>
      <c r="E116" s="30"/>
      <c r="F116" s="30"/>
      <c r="G116" s="35">
        <v>5</v>
      </c>
      <c r="H116" s="34"/>
      <c r="I116" s="30"/>
      <c r="J116" s="30"/>
      <c r="K116" s="30"/>
      <c r="L116" s="30"/>
      <c r="M116" s="30"/>
      <c r="N116" s="38">
        <v>2</v>
      </c>
      <c r="O116" s="34"/>
      <c r="P116" s="30"/>
      <c r="Q116" s="30"/>
      <c r="R116" s="30"/>
      <c r="S116" s="30"/>
      <c r="T116" s="30"/>
      <c r="U116" s="38"/>
      <c r="V116" s="34"/>
      <c r="W116" s="30"/>
      <c r="X116" s="30"/>
      <c r="Y116" s="30"/>
      <c r="Z116" s="30"/>
      <c r="AA116" s="30"/>
      <c r="AB116" s="35">
        <v>2</v>
      </c>
      <c r="AD116" s="27">
        <f>IF(ISNUMBER(INDEX($A116:$AB116, MATCH(داشبرد!$D$5, $A$2:$AB$2, 0))), INDEX($A116:$AB116, MATCH(داشبرد!$D$5, $A$2:$AB$2, 0)), NA())</f>
        <v>5</v>
      </c>
    </row>
    <row r="117" spans="1:30" x14ac:dyDescent="0.3">
      <c r="A117" s="34"/>
      <c r="B117" s="30"/>
      <c r="C117" s="30"/>
      <c r="D117" s="30"/>
      <c r="E117" s="30"/>
      <c r="F117" s="30"/>
      <c r="G117" s="35">
        <v>13</v>
      </c>
      <c r="H117" s="34"/>
      <c r="I117" s="30"/>
      <c r="J117" s="30"/>
      <c r="K117" s="30"/>
      <c r="L117" s="30"/>
      <c r="M117" s="30"/>
      <c r="N117" s="38">
        <v>10</v>
      </c>
      <c r="O117" s="34"/>
      <c r="P117" s="30"/>
      <c r="Q117" s="30"/>
      <c r="R117" s="30"/>
      <c r="S117" s="30"/>
      <c r="T117" s="30"/>
      <c r="U117" s="38"/>
      <c r="V117" s="34"/>
      <c r="W117" s="30"/>
      <c r="X117" s="30"/>
      <c r="Y117" s="30"/>
      <c r="Z117" s="30"/>
      <c r="AA117" s="30"/>
      <c r="AB117" s="35">
        <v>2</v>
      </c>
      <c r="AD117" s="27">
        <f>IF(ISNUMBER(INDEX($A117:$AB117, MATCH(داشبرد!$D$5, $A$2:$AB$2, 0))), INDEX($A117:$AB117, MATCH(داشبرد!$D$5, $A$2:$AB$2, 0)), NA())</f>
        <v>13</v>
      </c>
    </row>
    <row r="118" spans="1:30" x14ac:dyDescent="0.3">
      <c r="A118" s="34"/>
      <c r="B118" s="30"/>
      <c r="C118" s="30"/>
      <c r="D118" s="30"/>
      <c r="E118" s="30"/>
      <c r="F118" s="30"/>
      <c r="G118" s="35">
        <v>13</v>
      </c>
      <c r="H118" s="34"/>
      <c r="I118" s="30"/>
      <c r="J118" s="30"/>
      <c r="K118" s="30"/>
      <c r="L118" s="30"/>
      <c r="M118" s="30"/>
      <c r="N118" s="38">
        <v>10</v>
      </c>
      <c r="O118" s="34"/>
      <c r="P118" s="30"/>
      <c r="Q118" s="30"/>
      <c r="R118" s="30"/>
      <c r="S118" s="30"/>
      <c r="T118" s="30"/>
      <c r="U118" s="38"/>
      <c r="V118" s="34"/>
      <c r="W118" s="30"/>
      <c r="X118" s="30"/>
      <c r="Y118" s="30"/>
      <c r="Z118" s="30"/>
      <c r="AA118" s="30"/>
      <c r="AB118" s="35">
        <v>2</v>
      </c>
      <c r="AD118" s="27">
        <f>IF(ISNUMBER(INDEX($A118:$AB118, MATCH(داشبرد!$D$5, $A$2:$AB$2, 0))), INDEX($A118:$AB118, MATCH(داشبرد!$D$5, $A$2:$AB$2, 0)), NA())</f>
        <v>13</v>
      </c>
    </row>
    <row r="119" spans="1:30" x14ac:dyDescent="0.3">
      <c r="A119" s="34"/>
      <c r="B119" s="30"/>
      <c r="C119" s="30"/>
      <c r="D119" s="30"/>
      <c r="E119" s="30"/>
      <c r="F119" s="30"/>
      <c r="G119" s="35">
        <v>14</v>
      </c>
      <c r="H119" s="34"/>
      <c r="I119" s="30"/>
      <c r="J119" s="30"/>
      <c r="K119" s="30"/>
      <c r="L119" s="30"/>
      <c r="M119" s="30"/>
      <c r="N119" s="38">
        <v>10</v>
      </c>
      <c r="O119" s="34"/>
      <c r="P119" s="30"/>
      <c r="Q119" s="30"/>
      <c r="R119" s="30"/>
      <c r="S119" s="30"/>
      <c r="T119" s="30"/>
      <c r="U119" s="38"/>
      <c r="V119" s="34"/>
      <c r="W119" s="30"/>
      <c r="X119" s="30"/>
      <c r="Y119" s="30"/>
      <c r="Z119" s="30"/>
      <c r="AA119" s="30"/>
      <c r="AB119" s="35">
        <v>3</v>
      </c>
      <c r="AD119" s="27">
        <f>IF(ISNUMBER(INDEX($A119:$AB119, MATCH(داشبرد!$D$5, $A$2:$AB$2, 0))), INDEX($A119:$AB119, MATCH(داشبرد!$D$5, $A$2:$AB$2, 0)), NA())</f>
        <v>14</v>
      </c>
    </row>
    <row r="120" spans="1:30" x14ac:dyDescent="0.3">
      <c r="A120" s="34"/>
      <c r="B120" s="30"/>
      <c r="C120" s="30"/>
      <c r="D120" s="30"/>
      <c r="E120" s="30"/>
      <c r="F120" s="30"/>
      <c r="G120" s="35">
        <v>14</v>
      </c>
      <c r="H120" s="34"/>
      <c r="I120" s="30"/>
      <c r="J120" s="30"/>
      <c r="K120" s="30"/>
      <c r="L120" s="30"/>
      <c r="M120" s="30"/>
      <c r="N120" s="38">
        <v>10</v>
      </c>
      <c r="O120" s="34"/>
      <c r="P120" s="30"/>
      <c r="Q120" s="30"/>
      <c r="R120" s="30"/>
      <c r="S120" s="30"/>
      <c r="T120" s="30"/>
      <c r="U120" s="38"/>
      <c r="V120" s="34"/>
      <c r="W120" s="30"/>
      <c r="X120" s="30"/>
      <c r="Y120" s="30"/>
      <c r="Z120" s="30"/>
      <c r="AA120" s="30"/>
      <c r="AB120" s="35">
        <v>3</v>
      </c>
      <c r="AD120" s="27">
        <f>IF(ISNUMBER(INDEX($A120:$AB120, MATCH(داشبرد!$D$5, $A$2:$AB$2, 0))), INDEX($A120:$AB120, MATCH(داشبرد!$D$5, $A$2:$AB$2, 0)), NA())</f>
        <v>14</v>
      </c>
    </row>
    <row r="121" spans="1:30" x14ac:dyDescent="0.3">
      <c r="A121" s="34"/>
      <c r="B121" s="30"/>
      <c r="C121" s="30"/>
      <c r="D121" s="30"/>
      <c r="E121" s="30"/>
      <c r="F121" s="30"/>
      <c r="G121" s="35">
        <v>13</v>
      </c>
      <c r="H121" s="34"/>
      <c r="I121" s="30"/>
      <c r="J121" s="30"/>
      <c r="K121" s="30"/>
      <c r="L121" s="30"/>
      <c r="M121" s="30"/>
      <c r="N121" s="38">
        <v>10</v>
      </c>
      <c r="O121" s="34"/>
      <c r="P121" s="30"/>
      <c r="Q121" s="30"/>
      <c r="R121" s="30"/>
      <c r="S121" s="30"/>
      <c r="T121" s="30"/>
      <c r="U121" s="38"/>
      <c r="V121" s="34"/>
      <c r="W121" s="30"/>
      <c r="X121" s="30"/>
      <c r="Y121" s="30"/>
      <c r="Z121" s="30"/>
      <c r="AA121" s="30"/>
      <c r="AB121" s="35">
        <v>2</v>
      </c>
      <c r="AD121" s="27">
        <f>IF(ISNUMBER(INDEX($A121:$AB121, MATCH(داشبرد!$D$5, $A$2:$AB$2, 0))), INDEX($A121:$AB121, MATCH(داشبرد!$D$5, $A$2:$AB$2, 0)), NA())</f>
        <v>13</v>
      </c>
    </row>
    <row r="122" spans="1:30" x14ac:dyDescent="0.3">
      <c r="A122" s="34"/>
      <c r="B122" s="30"/>
      <c r="C122" s="30"/>
      <c r="D122" s="30"/>
      <c r="E122" s="30"/>
      <c r="F122" s="30"/>
      <c r="G122" s="35">
        <v>14</v>
      </c>
      <c r="H122" s="34"/>
      <c r="I122" s="30"/>
      <c r="J122" s="30"/>
      <c r="K122" s="30"/>
      <c r="L122" s="30"/>
      <c r="M122" s="30"/>
      <c r="N122" s="38">
        <v>10</v>
      </c>
      <c r="O122" s="34"/>
      <c r="P122" s="30"/>
      <c r="Q122" s="30"/>
      <c r="R122" s="30"/>
      <c r="S122" s="30"/>
      <c r="T122" s="30"/>
      <c r="U122" s="38"/>
      <c r="V122" s="34"/>
      <c r="W122" s="30"/>
      <c r="X122" s="30"/>
      <c r="Y122" s="30"/>
      <c r="Z122" s="30"/>
      <c r="AA122" s="30"/>
      <c r="AB122" s="35">
        <v>3</v>
      </c>
      <c r="AD122" s="27">
        <f>IF(ISNUMBER(INDEX($A122:$AB122, MATCH(داشبرد!$D$5, $A$2:$AB$2, 0))), INDEX($A122:$AB122, MATCH(داشبرد!$D$5, $A$2:$AB$2, 0)), NA())</f>
        <v>14</v>
      </c>
    </row>
    <row r="123" spans="1:30" x14ac:dyDescent="0.3">
      <c r="A123" s="34"/>
      <c r="B123" s="30"/>
      <c r="C123" s="30"/>
      <c r="D123" s="30"/>
      <c r="E123" s="30"/>
      <c r="F123" s="30"/>
      <c r="G123" s="35">
        <v>14</v>
      </c>
      <c r="H123" s="34"/>
      <c r="I123" s="30"/>
      <c r="J123" s="30"/>
      <c r="K123" s="30"/>
      <c r="L123" s="30"/>
      <c r="M123" s="30"/>
      <c r="N123" s="38">
        <v>10</v>
      </c>
      <c r="O123" s="34"/>
      <c r="P123" s="30"/>
      <c r="Q123" s="30"/>
      <c r="R123" s="30"/>
      <c r="S123" s="30"/>
      <c r="T123" s="30"/>
      <c r="U123" s="38"/>
      <c r="V123" s="34"/>
      <c r="W123" s="30"/>
      <c r="X123" s="30"/>
      <c r="Y123" s="30"/>
      <c r="Z123" s="30"/>
      <c r="AA123" s="30"/>
      <c r="AB123" s="35">
        <v>3</v>
      </c>
      <c r="AD123" s="27">
        <f>IF(ISNUMBER(INDEX($A123:$AB123, MATCH(داشبرد!$D$5, $A$2:$AB$2, 0))), INDEX($A123:$AB123, MATCH(داشبرد!$D$5, $A$2:$AB$2, 0)), NA())</f>
        <v>14</v>
      </c>
    </row>
    <row r="124" spans="1:30" x14ac:dyDescent="0.3">
      <c r="A124" s="34"/>
      <c r="B124" s="30"/>
      <c r="C124" s="30"/>
      <c r="D124" s="30"/>
      <c r="E124" s="30"/>
      <c r="F124" s="30"/>
      <c r="G124" s="35">
        <v>14</v>
      </c>
      <c r="H124" s="34"/>
      <c r="I124" s="30"/>
      <c r="J124" s="30"/>
      <c r="K124" s="30"/>
      <c r="L124" s="30"/>
      <c r="M124" s="30"/>
      <c r="N124" s="38">
        <v>10</v>
      </c>
      <c r="O124" s="34"/>
      <c r="P124" s="30"/>
      <c r="Q124" s="30"/>
      <c r="R124" s="30"/>
      <c r="S124" s="30"/>
      <c r="T124" s="30"/>
      <c r="U124" s="38"/>
      <c r="V124" s="34"/>
      <c r="W124" s="30"/>
      <c r="X124" s="30"/>
      <c r="Y124" s="30"/>
      <c r="Z124" s="30"/>
      <c r="AA124" s="30"/>
      <c r="AB124" s="35">
        <v>3</v>
      </c>
      <c r="AD124" s="27">
        <f>IF(ISNUMBER(INDEX($A124:$AB124, MATCH(داشبرد!$D$5, $A$2:$AB$2, 0))), INDEX($A124:$AB124, MATCH(داشبرد!$D$5, $A$2:$AB$2, 0)), NA())</f>
        <v>14</v>
      </c>
    </row>
    <row r="125" spans="1:30" x14ac:dyDescent="0.3">
      <c r="A125" s="34"/>
      <c r="B125" s="30"/>
      <c r="C125" s="30"/>
      <c r="D125" s="30"/>
      <c r="E125" s="30"/>
      <c r="F125" s="30"/>
      <c r="G125" s="35">
        <v>12</v>
      </c>
      <c r="H125" s="34"/>
      <c r="I125" s="30"/>
      <c r="J125" s="30"/>
      <c r="K125" s="30"/>
      <c r="L125" s="30"/>
      <c r="M125" s="30"/>
      <c r="N125" s="38">
        <v>10</v>
      </c>
      <c r="O125" s="34"/>
      <c r="P125" s="30"/>
      <c r="Q125" s="30"/>
      <c r="R125" s="30"/>
      <c r="S125" s="30"/>
      <c r="T125" s="30"/>
      <c r="U125" s="38"/>
      <c r="V125" s="34"/>
      <c r="W125" s="30"/>
      <c r="X125" s="30"/>
      <c r="Y125" s="30"/>
      <c r="Z125" s="30"/>
      <c r="AA125" s="30"/>
      <c r="AB125" s="35">
        <v>2</v>
      </c>
      <c r="AD125" s="27">
        <f>IF(ISNUMBER(INDEX($A125:$AB125, MATCH(داشبرد!$D$5, $A$2:$AB$2, 0))), INDEX($A125:$AB125, MATCH(داشبرد!$D$5, $A$2:$AB$2, 0)), NA())</f>
        <v>12</v>
      </c>
    </row>
    <row r="126" spans="1:30" x14ac:dyDescent="0.3">
      <c r="A126" s="34"/>
      <c r="B126" s="30"/>
      <c r="C126" s="30"/>
      <c r="D126" s="30"/>
      <c r="E126" s="30"/>
      <c r="F126" s="30"/>
      <c r="G126" s="35">
        <v>13</v>
      </c>
      <c r="H126" s="34"/>
      <c r="I126" s="30"/>
      <c r="J126" s="30"/>
      <c r="K126" s="30"/>
      <c r="L126" s="30"/>
      <c r="M126" s="30"/>
      <c r="N126" s="38">
        <v>10</v>
      </c>
      <c r="O126" s="34"/>
      <c r="P126" s="30"/>
      <c r="Q126" s="30"/>
      <c r="R126" s="30"/>
      <c r="S126" s="30"/>
      <c r="T126" s="30"/>
      <c r="U126" s="38"/>
      <c r="V126" s="34"/>
      <c r="W126" s="30"/>
      <c r="X126" s="30"/>
      <c r="Y126" s="30"/>
      <c r="Z126" s="30"/>
      <c r="AA126" s="30"/>
      <c r="AB126" s="35">
        <v>3</v>
      </c>
      <c r="AD126" s="27">
        <f>IF(ISNUMBER(INDEX($A126:$AB126, MATCH(داشبرد!$D$5, $A$2:$AB$2, 0))), INDEX($A126:$AB126, MATCH(داشبرد!$D$5, $A$2:$AB$2, 0)), NA())</f>
        <v>13</v>
      </c>
    </row>
    <row r="127" spans="1:30" x14ac:dyDescent="0.3">
      <c r="A127" s="34"/>
      <c r="B127" s="30"/>
      <c r="C127" s="30"/>
      <c r="D127" s="30"/>
      <c r="E127" s="30"/>
      <c r="F127" s="30"/>
      <c r="G127" s="35">
        <v>12</v>
      </c>
      <c r="H127" s="34"/>
      <c r="I127" s="30"/>
      <c r="J127" s="30"/>
      <c r="K127" s="30"/>
      <c r="L127" s="30"/>
      <c r="M127" s="30"/>
      <c r="N127" s="38">
        <v>10</v>
      </c>
      <c r="O127" s="34"/>
      <c r="P127" s="30"/>
      <c r="Q127" s="30"/>
      <c r="R127" s="30"/>
      <c r="S127" s="30"/>
      <c r="T127" s="30"/>
      <c r="U127" s="38"/>
      <c r="V127" s="34"/>
      <c r="W127" s="30"/>
      <c r="X127" s="30"/>
      <c r="Y127" s="30"/>
      <c r="Z127" s="30"/>
      <c r="AA127" s="30"/>
      <c r="AB127" s="35">
        <v>2</v>
      </c>
      <c r="AD127" s="27">
        <f>IF(ISNUMBER(INDEX($A127:$AB127, MATCH(داشبرد!$D$5, $A$2:$AB$2, 0))), INDEX($A127:$AB127, MATCH(داشبرد!$D$5, $A$2:$AB$2, 0)), NA())</f>
        <v>12</v>
      </c>
    </row>
    <row r="128" spans="1:30" x14ac:dyDescent="0.3">
      <c r="A128" s="34"/>
      <c r="B128" s="30"/>
      <c r="C128" s="30"/>
      <c r="D128" s="30"/>
      <c r="E128" s="30"/>
      <c r="F128" s="30"/>
      <c r="G128" s="35">
        <v>13</v>
      </c>
      <c r="H128" s="34"/>
      <c r="I128" s="30"/>
      <c r="J128" s="30"/>
      <c r="K128" s="30"/>
      <c r="L128" s="30"/>
      <c r="M128" s="30"/>
      <c r="N128" s="38">
        <v>10</v>
      </c>
      <c r="O128" s="34"/>
      <c r="P128" s="30"/>
      <c r="Q128" s="30"/>
      <c r="R128" s="30"/>
      <c r="S128" s="30"/>
      <c r="T128" s="30"/>
      <c r="U128" s="38"/>
      <c r="V128" s="34"/>
      <c r="W128" s="30"/>
      <c r="X128" s="30"/>
      <c r="Y128" s="30"/>
      <c r="Z128" s="30"/>
      <c r="AA128" s="30"/>
      <c r="AB128" s="35">
        <v>3</v>
      </c>
      <c r="AD128" s="27">
        <f>IF(ISNUMBER(INDEX($A128:$AB128, MATCH(داشبرد!$D$5, $A$2:$AB$2, 0))), INDEX($A128:$AB128, MATCH(داشبرد!$D$5, $A$2:$AB$2, 0)), NA())</f>
        <v>13</v>
      </c>
    </row>
    <row r="129" spans="1:30" x14ac:dyDescent="0.3">
      <c r="A129" s="34"/>
      <c r="B129" s="30"/>
      <c r="C129" s="30"/>
      <c r="D129" s="30"/>
      <c r="E129" s="30"/>
      <c r="F129" s="30"/>
      <c r="G129" s="35">
        <v>8</v>
      </c>
      <c r="H129" s="34"/>
      <c r="I129" s="30"/>
      <c r="J129" s="30"/>
      <c r="K129" s="30"/>
      <c r="L129" s="30"/>
      <c r="M129" s="30"/>
      <c r="N129" s="38">
        <v>7</v>
      </c>
      <c r="O129" s="34"/>
      <c r="P129" s="30"/>
      <c r="Q129" s="30"/>
      <c r="R129" s="30"/>
      <c r="S129" s="30"/>
      <c r="T129" s="30"/>
      <c r="U129" s="38"/>
      <c r="V129" s="34"/>
      <c r="W129" s="30"/>
      <c r="X129" s="30"/>
      <c r="Y129" s="30"/>
      <c r="Z129" s="30"/>
      <c r="AA129" s="30"/>
      <c r="AB129" s="35">
        <v>1</v>
      </c>
      <c r="AD129" s="27">
        <f>IF(ISNUMBER(INDEX($A129:$AB129, MATCH(داشبرد!$D$5, $A$2:$AB$2, 0))), INDEX($A129:$AB129, MATCH(داشبرد!$D$5, $A$2:$AB$2, 0)), NA())</f>
        <v>8</v>
      </c>
    </row>
    <row r="130" spans="1:30" x14ac:dyDescent="0.3">
      <c r="A130" s="34"/>
      <c r="B130" s="30"/>
      <c r="C130" s="30"/>
      <c r="D130" s="30"/>
      <c r="E130" s="30"/>
      <c r="F130" s="30"/>
      <c r="G130" s="35">
        <v>9</v>
      </c>
      <c r="H130" s="34"/>
      <c r="I130" s="30"/>
      <c r="J130" s="30"/>
      <c r="K130" s="30"/>
      <c r="L130" s="30"/>
      <c r="M130" s="30"/>
      <c r="N130" s="38">
        <v>7</v>
      </c>
      <c r="O130" s="34"/>
      <c r="P130" s="30"/>
      <c r="Q130" s="30"/>
      <c r="R130" s="30"/>
      <c r="S130" s="30"/>
      <c r="T130" s="30"/>
      <c r="U130" s="38"/>
      <c r="V130" s="34"/>
      <c r="W130" s="30"/>
      <c r="X130" s="30"/>
      <c r="Y130" s="30"/>
      <c r="Z130" s="30"/>
      <c r="AA130" s="30"/>
      <c r="AB130" s="35">
        <v>2</v>
      </c>
      <c r="AD130" s="27">
        <f>IF(ISNUMBER(INDEX($A130:$AB130, MATCH(داشبرد!$D$5, $A$2:$AB$2, 0))), INDEX($A130:$AB130, MATCH(داشبرد!$D$5, $A$2:$AB$2, 0)), NA())</f>
        <v>9</v>
      </c>
    </row>
    <row r="131" spans="1:30" x14ac:dyDescent="0.3">
      <c r="A131" s="34"/>
      <c r="B131" s="30"/>
      <c r="C131" s="30"/>
      <c r="D131" s="30"/>
      <c r="E131" s="30"/>
      <c r="F131" s="30"/>
      <c r="G131" s="35">
        <v>9</v>
      </c>
      <c r="H131" s="34"/>
      <c r="I131" s="30"/>
      <c r="J131" s="30"/>
      <c r="K131" s="30"/>
      <c r="L131" s="30"/>
      <c r="M131" s="30"/>
      <c r="N131" s="38">
        <v>7</v>
      </c>
      <c r="O131" s="34"/>
      <c r="P131" s="30"/>
      <c r="Q131" s="30"/>
      <c r="R131" s="30"/>
      <c r="S131" s="30"/>
      <c r="T131" s="30"/>
      <c r="U131" s="38"/>
      <c r="V131" s="34"/>
      <c r="W131" s="30"/>
      <c r="X131" s="30"/>
      <c r="Y131" s="30"/>
      <c r="Z131" s="30"/>
      <c r="AA131" s="30"/>
      <c r="AB131" s="35">
        <v>2</v>
      </c>
      <c r="AD131" s="27">
        <f>IF(ISNUMBER(INDEX($A131:$AB131, MATCH(داشبرد!$D$5, $A$2:$AB$2, 0))), INDEX($A131:$AB131, MATCH(داشبرد!$D$5, $A$2:$AB$2, 0)), NA())</f>
        <v>9</v>
      </c>
    </row>
    <row r="132" spans="1:30" x14ac:dyDescent="0.3">
      <c r="A132" s="34"/>
      <c r="B132" s="30"/>
      <c r="C132" s="30"/>
      <c r="D132" s="30"/>
      <c r="E132" s="30"/>
      <c r="F132" s="30"/>
      <c r="G132" s="35">
        <v>67</v>
      </c>
      <c r="H132" s="34"/>
      <c r="I132" s="30"/>
      <c r="J132" s="30"/>
      <c r="K132" s="30"/>
      <c r="L132" s="30"/>
      <c r="M132" s="30"/>
      <c r="N132" s="38">
        <v>65</v>
      </c>
      <c r="O132" s="34"/>
      <c r="P132" s="30"/>
      <c r="Q132" s="30"/>
      <c r="R132" s="30"/>
      <c r="S132" s="30"/>
      <c r="T132" s="30"/>
      <c r="U132" s="38"/>
      <c r="V132" s="34"/>
      <c r="W132" s="30"/>
      <c r="X132" s="30"/>
      <c r="Y132" s="30"/>
      <c r="Z132" s="30"/>
      <c r="AA132" s="30"/>
      <c r="AB132" s="35">
        <v>2</v>
      </c>
      <c r="AD132" s="27">
        <f>IF(ISNUMBER(INDEX($A132:$AB132, MATCH(داشبرد!$D$5, $A$2:$AB$2, 0))), INDEX($A132:$AB132, MATCH(داشبرد!$D$5, $A$2:$AB$2, 0)), NA())</f>
        <v>67</v>
      </c>
    </row>
    <row r="133" spans="1:30" x14ac:dyDescent="0.3">
      <c r="A133" s="34"/>
      <c r="B133" s="30"/>
      <c r="C133" s="30"/>
      <c r="D133" s="30"/>
      <c r="E133" s="30"/>
      <c r="F133" s="30"/>
      <c r="G133" s="35">
        <v>67</v>
      </c>
      <c r="H133" s="34"/>
      <c r="I133" s="30"/>
      <c r="J133" s="30"/>
      <c r="K133" s="30"/>
      <c r="L133" s="30"/>
      <c r="M133" s="30"/>
      <c r="N133" s="38">
        <v>65</v>
      </c>
      <c r="O133" s="34"/>
      <c r="P133" s="30"/>
      <c r="Q133" s="30"/>
      <c r="R133" s="30"/>
      <c r="S133" s="30"/>
      <c r="T133" s="30"/>
      <c r="U133" s="38"/>
      <c r="V133" s="34"/>
      <c r="W133" s="30"/>
      <c r="X133" s="30"/>
      <c r="Y133" s="30"/>
      <c r="Z133" s="30"/>
      <c r="AA133" s="30"/>
      <c r="AB133" s="35">
        <v>2</v>
      </c>
      <c r="AD133" s="27">
        <f>IF(ISNUMBER(INDEX($A133:$AB133, MATCH(داشبرد!$D$5, $A$2:$AB$2, 0))), INDEX($A133:$AB133, MATCH(داشبرد!$D$5, $A$2:$AB$2, 0)), NA())</f>
        <v>67</v>
      </c>
    </row>
    <row r="134" spans="1:30" x14ac:dyDescent="0.3">
      <c r="A134" s="34"/>
      <c r="B134" s="30"/>
      <c r="C134" s="30"/>
      <c r="D134" s="30"/>
      <c r="E134" s="30"/>
      <c r="F134" s="30"/>
      <c r="G134" s="35">
        <v>67</v>
      </c>
      <c r="H134" s="34"/>
      <c r="I134" s="30"/>
      <c r="J134" s="30"/>
      <c r="K134" s="30"/>
      <c r="L134" s="30"/>
      <c r="M134" s="30"/>
      <c r="N134" s="38">
        <v>65</v>
      </c>
      <c r="O134" s="34"/>
      <c r="P134" s="30"/>
      <c r="Q134" s="30"/>
      <c r="R134" s="30"/>
      <c r="S134" s="30"/>
      <c r="T134" s="30"/>
      <c r="U134" s="38"/>
      <c r="V134" s="34"/>
      <c r="W134" s="30"/>
      <c r="X134" s="30"/>
      <c r="Y134" s="30"/>
      <c r="Z134" s="30"/>
      <c r="AA134" s="30"/>
      <c r="AB134" s="35">
        <v>2</v>
      </c>
      <c r="AD134" s="27">
        <f>IF(ISNUMBER(INDEX($A134:$AB134, MATCH(داشبرد!$D$5, $A$2:$AB$2, 0))), INDEX($A134:$AB134, MATCH(داشبرد!$D$5, $A$2:$AB$2, 0)), NA())</f>
        <v>67</v>
      </c>
    </row>
    <row r="135" spans="1:30" x14ac:dyDescent="0.3">
      <c r="A135" s="34"/>
      <c r="B135" s="30"/>
      <c r="C135" s="30"/>
      <c r="D135" s="30"/>
      <c r="E135" s="30"/>
      <c r="F135" s="30"/>
      <c r="G135" s="35">
        <v>17</v>
      </c>
      <c r="H135" s="34"/>
      <c r="I135" s="30"/>
      <c r="J135" s="30"/>
      <c r="K135" s="30"/>
      <c r="L135" s="30"/>
      <c r="M135" s="30"/>
      <c r="N135" s="38">
        <v>3</v>
      </c>
      <c r="O135" s="34"/>
      <c r="P135" s="30"/>
      <c r="Q135" s="30"/>
      <c r="R135" s="30"/>
      <c r="S135" s="30"/>
      <c r="T135" s="30"/>
      <c r="U135" s="38"/>
      <c r="V135" s="34"/>
      <c r="W135" s="30"/>
      <c r="X135" s="30"/>
      <c r="Y135" s="30"/>
      <c r="Z135" s="30"/>
      <c r="AA135" s="30"/>
      <c r="AB135" s="35">
        <v>2</v>
      </c>
      <c r="AD135" s="27">
        <f>IF(ISNUMBER(INDEX($A135:$AB135, MATCH(داشبرد!$D$5, $A$2:$AB$2, 0))), INDEX($A135:$AB135, MATCH(داشبرد!$D$5, $A$2:$AB$2, 0)), NA())</f>
        <v>17</v>
      </c>
    </row>
    <row r="136" spans="1:30" x14ac:dyDescent="0.3">
      <c r="A136" s="34"/>
      <c r="B136" s="30"/>
      <c r="C136" s="30"/>
      <c r="D136" s="30"/>
      <c r="E136" s="30"/>
      <c r="F136" s="30"/>
      <c r="G136" s="35">
        <v>19</v>
      </c>
      <c r="H136" s="34"/>
      <c r="I136" s="30"/>
      <c r="J136" s="30"/>
      <c r="K136" s="30"/>
      <c r="L136" s="30"/>
      <c r="M136" s="30"/>
      <c r="N136" s="38">
        <v>3</v>
      </c>
      <c r="O136" s="34"/>
      <c r="P136" s="30"/>
      <c r="Q136" s="30"/>
      <c r="R136" s="30"/>
      <c r="S136" s="30"/>
      <c r="T136" s="30"/>
      <c r="U136" s="38"/>
      <c r="V136" s="34"/>
      <c r="W136" s="30"/>
      <c r="X136" s="30"/>
      <c r="Y136" s="30"/>
      <c r="Z136" s="30"/>
      <c r="AA136" s="30"/>
      <c r="AB136" s="35">
        <v>4</v>
      </c>
      <c r="AD136" s="27">
        <f>IF(ISNUMBER(INDEX($A136:$AB136, MATCH(داشبرد!$D$5, $A$2:$AB$2, 0))), INDEX($A136:$AB136, MATCH(داشبرد!$D$5, $A$2:$AB$2, 0)), NA())</f>
        <v>19</v>
      </c>
    </row>
    <row r="137" spans="1:30" x14ac:dyDescent="0.3">
      <c r="A137" s="34"/>
      <c r="B137" s="30"/>
      <c r="C137" s="30"/>
      <c r="D137" s="30"/>
      <c r="E137" s="30"/>
      <c r="F137" s="30"/>
      <c r="G137" s="35">
        <v>18</v>
      </c>
      <c r="H137" s="34"/>
      <c r="I137" s="30"/>
      <c r="J137" s="30"/>
      <c r="K137" s="30"/>
      <c r="L137" s="30"/>
      <c r="M137" s="30"/>
      <c r="N137" s="38">
        <v>3</v>
      </c>
      <c r="O137" s="34"/>
      <c r="P137" s="30"/>
      <c r="Q137" s="30"/>
      <c r="R137" s="30"/>
      <c r="S137" s="30"/>
      <c r="T137" s="30"/>
      <c r="U137" s="38"/>
      <c r="V137" s="34"/>
      <c r="W137" s="30"/>
      <c r="X137" s="30"/>
      <c r="Y137" s="30"/>
      <c r="Z137" s="30"/>
      <c r="AA137" s="30"/>
      <c r="AB137" s="35">
        <v>5</v>
      </c>
      <c r="AD137" s="27">
        <f>IF(ISNUMBER(INDEX($A137:$AB137, MATCH(داشبرد!$D$5, $A$2:$AB$2, 0))), INDEX($A137:$AB137, MATCH(داشبرد!$D$5, $A$2:$AB$2, 0)), NA())</f>
        <v>18</v>
      </c>
    </row>
    <row r="138" spans="1:30" x14ac:dyDescent="0.3">
      <c r="A138" s="34"/>
      <c r="B138" s="30"/>
      <c r="C138" s="30"/>
      <c r="D138" s="30"/>
      <c r="E138" s="30"/>
      <c r="F138" s="30"/>
      <c r="G138" s="35">
        <v>16</v>
      </c>
      <c r="H138" s="34"/>
      <c r="I138" s="30"/>
      <c r="J138" s="30"/>
      <c r="K138" s="30"/>
      <c r="L138" s="30"/>
      <c r="M138" s="30"/>
      <c r="N138" s="38">
        <v>3</v>
      </c>
      <c r="O138" s="34"/>
      <c r="P138" s="30"/>
      <c r="Q138" s="30"/>
      <c r="R138" s="30"/>
      <c r="S138" s="30"/>
      <c r="T138" s="30"/>
      <c r="U138" s="38"/>
      <c r="V138" s="34"/>
      <c r="W138" s="30"/>
      <c r="X138" s="30"/>
      <c r="Y138" s="30"/>
      <c r="Z138" s="30"/>
      <c r="AA138" s="30"/>
      <c r="AB138" s="35">
        <v>3</v>
      </c>
      <c r="AD138" s="27">
        <f>IF(ISNUMBER(INDEX($A138:$AB138, MATCH(داشبرد!$D$5, $A$2:$AB$2, 0))), INDEX($A138:$AB138, MATCH(داشبرد!$D$5, $A$2:$AB$2, 0)), NA())</f>
        <v>16</v>
      </c>
    </row>
    <row r="139" spans="1:30" x14ac:dyDescent="0.3">
      <c r="A139" s="34"/>
      <c r="B139" s="30"/>
      <c r="C139" s="30"/>
      <c r="D139" s="30"/>
      <c r="E139" s="30"/>
      <c r="F139" s="30"/>
      <c r="G139" s="35">
        <v>16</v>
      </c>
      <c r="H139" s="34"/>
      <c r="I139" s="30"/>
      <c r="J139" s="30"/>
      <c r="K139" s="30"/>
      <c r="L139" s="30"/>
      <c r="M139" s="30"/>
      <c r="N139" s="38">
        <v>3</v>
      </c>
      <c r="O139" s="34"/>
      <c r="P139" s="30"/>
      <c r="Q139" s="30"/>
      <c r="R139" s="30"/>
      <c r="S139" s="30"/>
      <c r="T139" s="30"/>
      <c r="U139" s="38"/>
      <c r="V139" s="34"/>
      <c r="W139" s="30"/>
      <c r="X139" s="30"/>
      <c r="Y139" s="30"/>
      <c r="Z139" s="30"/>
      <c r="AA139" s="30"/>
      <c r="AB139" s="35">
        <v>3</v>
      </c>
      <c r="AD139" s="27">
        <f>IF(ISNUMBER(INDEX($A139:$AB139, MATCH(داشبرد!$D$5, $A$2:$AB$2, 0))), INDEX($A139:$AB139, MATCH(داشبرد!$D$5, $A$2:$AB$2, 0)), NA())</f>
        <v>16</v>
      </c>
    </row>
    <row r="140" spans="1:30" x14ac:dyDescent="0.3">
      <c r="A140" s="34"/>
      <c r="B140" s="30"/>
      <c r="C140" s="30"/>
      <c r="D140" s="30"/>
      <c r="E140" s="30"/>
      <c r="F140" s="30"/>
      <c r="G140" s="35">
        <v>23</v>
      </c>
      <c r="H140" s="34"/>
      <c r="I140" s="30"/>
      <c r="J140" s="30"/>
      <c r="K140" s="30"/>
      <c r="L140" s="30"/>
      <c r="M140" s="30"/>
      <c r="N140" s="38">
        <v>4</v>
      </c>
      <c r="O140" s="34"/>
      <c r="P140" s="30"/>
      <c r="Q140" s="30"/>
      <c r="R140" s="30"/>
      <c r="S140" s="30"/>
      <c r="T140" s="30"/>
      <c r="U140" s="38"/>
      <c r="V140" s="34"/>
      <c r="W140" s="30"/>
      <c r="X140" s="30"/>
      <c r="Y140" s="30"/>
      <c r="Z140" s="30"/>
      <c r="AA140" s="30"/>
      <c r="AB140" s="35">
        <v>5</v>
      </c>
      <c r="AD140" s="27">
        <f>IF(ISNUMBER(INDEX($A140:$AB140, MATCH(داشبرد!$D$5, $A$2:$AB$2, 0))), INDEX($A140:$AB140, MATCH(داشبرد!$D$5, $A$2:$AB$2, 0)), NA())</f>
        <v>23</v>
      </c>
    </row>
    <row r="141" spans="1:30" x14ac:dyDescent="0.3">
      <c r="A141" s="34"/>
      <c r="B141" s="30"/>
      <c r="C141" s="30"/>
      <c r="D141" s="30"/>
      <c r="E141" s="30"/>
      <c r="F141" s="30"/>
      <c r="G141" s="35">
        <v>21</v>
      </c>
      <c r="H141" s="34"/>
      <c r="I141" s="30"/>
      <c r="J141" s="30"/>
      <c r="K141" s="30"/>
      <c r="L141" s="30"/>
      <c r="M141" s="30"/>
      <c r="N141" s="38">
        <v>4</v>
      </c>
      <c r="O141" s="34"/>
      <c r="P141" s="30"/>
      <c r="Q141" s="30"/>
      <c r="R141" s="30"/>
      <c r="S141" s="30"/>
      <c r="T141" s="30"/>
      <c r="U141" s="38"/>
      <c r="V141" s="34"/>
      <c r="W141" s="30"/>
      <c r="X141" s="30"/>
      <c r="Y141" s="30"/>
      <c r="Z141" s="30"/>
      <c r="AA141" s="30"/>
      <c r="AB141" s="35">
        <v>3</v>
      </c>
      <c r="AD141" s="27">
        <f>IF(ISNUMBER(INDEX($A141:$AB141, MATCH(داشبرد!$D$5, $A$2:$AB$2, 0))), INDEX($A141:$AB141, MATCH(داشبرد!$D$5, $A$2:$AB$2, 0)), NA())</f>
        <v>21</v>
      </c>
    </row>
    <row r="142" spans="1:30" x14ac:dyDescent="0.3">
      <c r="A142" s="34"/>
      <c r="B142" s="30"/>
      <c r="C142" s="30"/>
      <c r="D142" s="30"/>
      <c r="E142" s="30"/>
      <c r="F142" s="30"/>
      <c r="G142" s="35">
        <v>21</v>
      </c>
      <c r="H142" s="34"/>
      <c r="I142" s="30"/>
      <c r="J142" s="30"/>
      <c r="K142" s="30"/>
      <c r="L142" s="30"/>
      <c r="M142" s="30"/>
      <c r="N142" s="38">
        <v>4</v>
      </c>
      <c r="O142" s="34"/>
      <c r="P142" s="30"/>
      <c r="Q142" s="30"/>
      <c r="R142" s="30"/>
      <c r="S142" s="30"/>
      <c r="T142" s="30"/>
      <c r="U142" s="38"/>
      <c r="V142" s="34"/>
      <c r="W142" s="30"/>
      <c r="X142" s="30"/>
      <c r="Y142" s="30"/>
      <c r="Z142" s="30"/>
      <c r="AA142" s="30"/>
      <c r="AB142" s="35">
        <v>3</v>
      </c>
      <c r="AD142" s="27">
        <f>IF(ISNUMBER(INDEX($A142:$AB142, MATCH(داشبرد!$D$5, $A$2:$AB$2, 0))), INDEX($A142:$AB142, MATCH(داشبرد!$D$5, $A$2:$AB$2, 0)), NA())</f>
        <v>21</v>
      </c>
    </row>
    <row r="143" spans="1:30" x14ac:dyDescent="0.3">
      <c r="A143" s="34"/>
      <c r="B143" s="30"/>
      <c r="C143" s="30"/>
      <c r="D143" s="30"/>
      <c r="E143" s="30"/>
      <c r="F143" s="30"/>
      <c r="G143" s="35">
        <v>11</v>
      </c>
      <c r="H143" s="34"/>
      <c r="I143" s="30"/>
      <c r="J143" s="30"/>
      <c r="K143" s="30"/>
      <c r="L143" s="30"/>
      <c r="M143" s="30"/>
      <c r="N143" s="38">
        <v>6</v>
      </c>
      <c r="O143" s="34"/>
      <c r="P143" s="30"/>
      <c r="Q143" s="30"/>
      <c r="R143" s="30"/>
      <c r="S143" s="30"/>
      <c r="T143" s="30"/>
      <c r="U143" s="38"/>
      <c r="V143" s="34"/>
      <c r="W143" s="30"/>
      <c r="X143" s="30"/>
      <c r="Y143" s="30"/>
      <c r="Z143" s="30"/>
      <c r="AA143" s="30"/>
      <c r="AB143" s="35">
        <v>3</v>
      </c>
      <c r="AD143" s="27">
        <f>IF(ISNUMBER(INDEX($A143:$AB143, MATCH(داشبرد!$D$5, $A$2:$AB$2, 0))), INDEX($A143:$AB143, MATCH(داشبرد!$D$5, $A$2:$AB$2, 0)), NA())</f>
        <v>11</v>
      </c>
    </row>
    <row r="144" spans="1:30" x14ac:dyDescent="0.3">
      <c r="A144" s="34"/>
      <c r="B144" s="30"/>
      <c r="C144" s="30"/>
      <c r="D144" s="30"/>
      <c r="E144" s="30"/>
      <c r="F144" s="30"/>
      <c r="G144" s="35">
        <v>11</v>
      </c>
      <c r="H144" s="34"/>
      <c r="I144" s="30"/>
      <c r="J144" s="30"/>
      <c r="K144" s="30"/>
      <c r="L144" s="30"/>
      <c r="M144" s="30"/>
      <c r="N144" s="38">
        <v>6</v>
      </c>
      <c r="O144" s="34"/>
      <c r="P144" s="30"/>
      <c r="Q144" s="30"/>
      <c r="R144" s="30"/>
      <c r="S144" s="30"/>
      <c r="T144" s="30"/>
      <c r="U144" s="38"/>
      <c r="V144" s="34"/>
      <c r="W144" s="30"/>
      <c r="X144" s="30"/>
      <c r="Y144" s="30"/>
      <c r="Z144" s="30"/>
      <c r="AA144" s="30"/>
      <c r="AB144" s="35">
        <v>3</v>
      </c>
      <c r="AD144" s="27">
        <f>IF(ISNUMBER(INDEX($A144:$AB144, MATCH(داشبرد!$D$5, $A$2:$AB$2, 0))), INDEX($A144:$AB144, MATCH(داشبرد!$D$5, $A$2:$AB$2, 0)), NA())</f>
        <v>11</v>
      </c>
    </row>
    <row r="145" spans="1:30" x14ac:dyDescent="0.3">
      <c r="A145" s="34"/>
      <c r="B145" s="30"/>
      <c r="C145" s="30"/>
      <c r="D145" s="30"/>
      <c r="E145" s="30"/>
      <c r="F145" s="30"/>
      <c r="G145" s="35">
        <v>12</v>
      </c>
      <c r="H145" s="34"/>
      <c r="I145" s="30"/>
      <c r="J145" s="30"/>
      <c r="K145" s="30"/>
      <c r="L145" s="30"/>
      <c r="M145" s="30"/>
      <c r="N145" s="38">
        <v>6</v>
      </c>
      <c r="O145" s="34"/>
      <c r="P145" s="30"/>
      <c r="Q145" s="30"/>
      <c r="R145" s="30"/>
      <c r="S145" s="30"/>
      <c r="T145" s="30"/>
      <c r="U145" s="38"/>
      <c r="V145" s="34"/>
      <c r="W145" s="30"/>
      <c r="X145" s="30"/>
      <c r="Y145" s="30"/>
      <c r="Z145" s="30"/>
      <c r="AA145" s="30"/>
      <c r="AB145" s="35">
        <v>4</v>
      </c>
      <c r="AD145" s="27">
        <f>IF(ISNUMBER(INDEX($A145:$AB145, MATCH(داشبرد!$D$5, $A$2:$AB$2, 0))), INDEX($A145:$AB145, MATCH(داشبرد!$D$5, $A$2:$AB$2, 0)), NA())</f>
        <v>12</v>
      </c>
    </row>
    <row r="146" spans="1:30" x14ac:dyDescent="0.3">
      <c r="A146" s="34"/>
      <c r="B146" s="30"/>
      <c r="C146" s="30"/>
      <c r="D146" s="30"/>
      <c r="E146" s="30"/>
      <c r="F146" s="30"/>
      <c r="G146" s="35">
        <v>15</v>
      </c>
      <c r="H146" s="34"/>
      <c r="I146" s="30"/>
      <c r="J146" s="30"/>
      <c r="K146" s="30"/>
      <c r="L146" s="30"/>
      <c r="M146" s="30"/>
      <c r="N146" s="38">
        <v>12</v>
      </c>
      <c r="O146" s="34"/>
      <c r="P146" s="30"/>
      <c r="Q146" s="30"/>
      <c r="R146" s="30"/>
      <c r="S146" s="30"/>
      <c r="T146" s="30"/>
      <c r="U146" s="38"/>
      <c r="V146" s="34"/>
      <c r="W146" s="30"/>
      <c r="X146" s="30"/>
      <c r="Y146" s="30"/>
      <c r="Z146" s="30"/>
      <c r="AA146" s="30"/>
      <c r="AB146" s="35">
        <v>3</v>
      </c>
      <c r="AD146" s="27">
        <f>IF(ISNUMBER(INDEX($A146:$AB146, MATCH(داشبرد!$D$5, $A$2:$AB$2, 0))), INDEX($A146:$AB146, MATCH(داشبرد!$D$5, $A$2:$AB$2, 0)), NA())</f>
        <v>15</v>
      </c>
    </row>
    <row r="147" spans="1:30" x14ac:dyDescent="0.3">
      <c r="A147" s="34"/>
      <c r="B147" s="30"/>
      <c r="C147" s="30"/>
      <c r="D147" s="30"/>
      <c r="E147" s="30"/>
      <c r="F147" s="30"/>
      <c r="G147" s="35">
        <v>14</v>
      </c>
      <c r="H147" s="34"/>
      <c r="I147" s="30"/>
      <c r="J147" s="30"/>
      <c r="K147" s="30"/>
      <c r="L147" s="30"/>
      <c r="M147" s="30"/>
      <c r="N147" s="38">
        <v>12</v>
      </c>
      <c r="O147" s="34"/>
      <c r="P147" s="30"/>
      <c r="Q147" s="30"/>
      <c r="R147" s="30"/>
      <c r="S147" s="30"/>
      <c r="T147" s="30"/>
      <c r="U147" s="38"/>
      <c r="V147" s="34"/>
      <c r="W147" s="30"/>
      <c r="X147" s="30"/>
      <c r="Y147" s="30"/>
      <c r="Z147" s="30"/>
      <c r="AA147" s="30"/>
      <c r="AB147" s="35">
        <v>2</v>
      </c>
      <c r="AD147" s="27">
        <f>IF(ISNUMBER(INDEX($A147:$AB147, MATCH(داشبرد!$D$5, $A$2:$AB$2, 0))), INDEX($A147:$AB147, MATCH(داشبرد!$D$5, $A$2:$AB$2, 0)), NA())</f>
        <v>14</v>
      </c>
    </row>
    <row r="148" spans="1:30" x14ac:dyDescent="0.3">
      <c r="A148" s="34"/>
      <c r="B148" s="30"/>
      <c r="C148" s="30"/>
      <c r="D148" s="30"/>
      <c r="E148" s="30"/>
      <c r="F148" s="30"/>
      <c r="G148" s="35">
        <v>11</v>
      </c>
      <c r="H148" s="34"/>
      <c r="I148" s="30"/>
      <c r="J148" s="30"/>
      <c r="K148" s="30"/>
      <c r="L148" s="30"/>
      <c r="M148" s="30"/>
      <c r="N148" s="38">
        <v>7</v>
      </c>
      <c r="O148" s="34"/>
      <c r="P148" s="30"/>
      <c r="Q148" s="30"/>
      <c r="R148" s="30"/>
      <c r="S148" s="30"/>
      <c r="T148" s="30"/>
      <c r="U148" s="38"/>
      <c r="V148" s="34"/>
      <c r="W148" s="30"/>
      <c r="X148" s="30"/>
      <c r="Y148" s="30"/>
      <c r="Z148" s="30"/>
      <c r="AA148" s="30"/>
      <c r="AB148" s="35">
        <v>3</v>
      </c>
      <c r="AD148" s="27">
        <f>IF(ISNUMBER(INDEX($A148:$AB148, MATCH(داشبرد!$D$5, $A$2:$AB$2, 0))), INDEX($A148:$AB148, MATCH(داشبرد!$D$5, $A$2:$AB$2, 0)), NA())</f>
        <v>11</v>
      </c>
    </row>
    <row r="149" spans="1:30" x14ac:dyDescent="0.3">
      <c r="A149" s="34"/>
      <c r="B149" s="30"/>
      <c r="C149" s="30"/>
      <c r="D149" s="30"/>
      <c r="E149" s="30"/>
      <c r="F149" s="30"/>
      <c r="G149" s="35">
        <v>10</v>
      </c>
      <c r="H149" s="34"/>
      <c r="I149" s="30"/>
      <c r="J149" s="30"/>
      <c r="K149" s="30"/>
      <c r="L149" s="30"/>
      <c r="M149" s="30"/>
      <c r="N149" s="38">
        <v>7</v>
      </c>
      <c r="O149" s="34"/>
      <c r="P149" s="30"/>
      <c r="Q149" s="30"/>
      <c r="R149" s="30"/>
      <c r="S149" s="30"/>
      <c r="T149" s="30"/>
      <c r="U149" s="38"/>
      <c r="V149" s="34"/>
      <c r="W149" s="30"/>
      <c r="X149" s="30"/>
      <c r="Y149" s="30"/>
      <c r="Z149" s="30"/>
      <c r="AA149" s="30"/>
      <c r="AB149" s="35">
        <v>2</v>
      </c>
      <c r="AD149" s="27">
        <f>IF(ISNUMBER(INDEX($A149:$AB149, MATCH(داشبرد!$D$5, $A$2:$AB$2, 0))), INDEX($A149:$AB149, MATCH(داشبرد!$D$5, $A$2:$AB$2, 0)), NA())</f>
        <v>10</v>
      </c>
    </row>
    <row r="150" spans="1:30" x14ac:dyDescent="0.3">
      <c r="A150" s="34"/>
      <c r="B150" s="30"/>
      <c r="C150" s="30"/>
      <c r="D150" s="30"/>
      <c r="E150" s="30"/>
      <c r="F150" s="30"/>
      <c r="G150" s="35">
        <v>9</v>
      </c>
      <c r="H150" s="34"/>
      <c r="I150" s="30"/>
      <c r="J150" s="30"/>
      <c r="K150" s="30"/>
      <c r="L150" s="30"/>
      <c r="M150" s="30"/>
      <c r="N150" s="38">
        <v>4</v>
      </c>
      <c r="O150" s="34"/>
      <c r="P150" s="30"/>
      <c r="Q150" s="30"/>
      <c r="R150" s="30"/>
      <c r="S150" s="30"/>
      <c r="T150" s="30"/>
      <c r="U150" s="38"/>
      <c r="V150" s="34"/>
      <c r="W150" s="30"/>
      <c r="X150" s="30"/>
      <c r="Y150" s="30"/>
      <c r="Z150" s="30"/>
      <c r="AA150" s="30"/>
      <c r="AB150" s="35">
        <v>4</v>
      </c>
      <c r="AD150" s="27">
        <f>IF(ISNUMBER(INDEX($A150:$AB150, MATCH(داشبرد!$D$5, $A$2:$AB$2, 0))), INDEX($A150:$AB150, MATCH(داشبرد!$D$5, $A$2:$AB$2, 0)), NA())</f>
        <v>9</v>
      </c>
    </row>
    <row r="151" spans="1:30" x14ac:dyDescent="0.3">
      <c r="A151" s="34"/>
      <c r="B151" s="30"/>
      <c r="C151" s="30"/>
      <c r="D151" s="30"/>
      <c r="E151" s="30"/>
      <c r="F151" s="30"/>
      <c r="G151" s="35">
        <v>8</v>
      </c>
      <c r="H151" s="34"/>
      <c r="I151" s="30"/>
      <c r="J151" s="30"/>
      <c r="K151" s="30"/>
      <c r="L151" s="30"/>
      <c r="M151" s="30"/>
      <c r="N151" s="38">
        <v>4</v>
      </c>
      <c r="O151" s="34"/>
      <c r="P151" s="30"/>
      <c r="Q151" s="30"/>
      <c r="R151" s="30"/>
      <c r="S151" s="30"/>
      <c r="T151" s="30"/>
      <c r="U151" s="38"/>
      <c r="V151" s="34"/>
      <c r="W151" s="30"/>
      <c r="X151" s="30"/>
      <c r="Y151" s="30"/>
      <c r="Z151" s="30"/>
      <c r="AA151" s="30"/>
      <c r="AB151" s="35">
        <v>3</v>
      </c>
      <c r="AD151" s="27">
        <f>IF(ISNUMBER(INDEX($A151:$AB151, MATCH(داشبرد!$D$5, $A$2:$AB$2, 0))), INDEX($A151:$AB151, MATCH(داشبرد!$D$5, $A$2:$AB$2, 0)), NA())</f>
        <v>8</v>
      </c>
    </row>
    <row r="152" spans="1:30" x14ac:dyDescent="0.3">
      <c r="A152" s="34"/>
      <c r="B152" s="30"/>
      <c r="C152" s="30"/>
      <c r="D152" s="30"/>
      <c r="E152" s="30"/>
      <c r="F152" s="30"/>
      <c r="G152" s="35">
        <v>9</v>
      </c>
      <c r="H152" s="34"/>
      <c r="I152" s="30"/>
      <c r="J152" s="30"/>
      <c r="K152" s="30"/>
      <c r="L152" s="30"/>
      <c r="M152" s="30"/>
      <c r="N152" s="38">
        <v>4</v>
      </c>
      <c r="O152" s="34"/>
      <c r="P152" s="30"/>
      <c r="Q152" s="30"/>
      <c r="R152" s="30"/>
      <c r="S152" s="30"/>
      <c r="T152" s="30"/>
      <c r="U152" s="38"/>
      <c r="V152" s="34"/>
      <c r="W152" s="30"/>
      <c r="X152" s="30"/>
      <c r="Y152" s="30"/>
      <c r="Z152" s="30"/>
      <c r="AA152" s="30"/>
      <c r="AB152" s="35">
        <v>5</v>
      </c>
      <c r="AD152" s="27">
        <f>IF(ISNUMBER(INDEX($A152:$AB152, MATCH(داشبرد!$D$5, $A$2:$AB$2, 0))), INDEX($A152:$AB152, MATCH(داشبرد!$D$5, $A$2:$AB$2, 0)), NA())</f>
        <v>9</v>
      </c>
    </row>
    <row r="153" spans="1:30" x14ac:dyDescent="0.3">
      <c r="A153" s="34"/>
      <c r="B153" s="30"/>
      <c r="C153" s="30"/>
      <c r="D153" s="30"/>
      <c r="E153" s="30"/>
      <c r="F153" s="30"/>
      <c r="G153" s="35">
        <v>7</v>
      </c>
      <c r="H153" s="34"/>
      <c r="I153" s="30"/>
      <c r="J153" s="30"/>
      <c r="K153" s="30"/>
      <c r="L153" s="30"/>
      <c r="M153" s="30"/>
      <c r="N153" s="38">
        <v>4</v>
      </c>
      <c r="O153" s="34"/>
      <c r="P153" s="30"/>
      <c r="Q153" s="30"/>
      <c r="R153" s="30"/>
      <c r="S153" s="30"/>
      <c r="T153" s="30"/>
      <c r="U153" s="38"/>
      <c r="V153" s="34"/>
      <c r="W153" s="30"/>
      <c r="X153" s="30"/>
      <c r="Y153" s="30"/>
      <c r="Z153" s="30"/>
      <c r="AA153" s="30"/>
      <c r="AB153" s="35">
        <v>2</v>
      </c>
      <c r="AD153" s="27">
        <f>IF(ISNUMBER(INDEX($A153:$AB153, MATCH(داشبرد!$D$5, $A$2:$AB$2, 0))), INDEX($A153:$AB153, MATCH(داشبرد!$D$5, $A$2:$AB$2, 0)), NA())</f>
        <v>7</v>
      </c>
    </row>
    <row r="154" spans="1:30" x14ac:dyDescent="0.3">
      <c r="A154" s="34"/>
      <c r="B154" s="30"/>
      <c r="C154" s="30"/>
      <c r="D154" s="30"/>
      <c r="E154" s="30"/>
      <c r="F154" s="30"/>
      <c r="G154" s="35">
        <v>7</v>
      </c>
      <c r="H154" s="34"/>
      <c r="I154" s="30"/>
      <c r="J154" s="30"/>
      <c r="K154" s="30"/>
      <c r="L154" s="30"/>
      <c r="M154" s="30"/>
      <c r="N154" s="38">
        <v>4</v>
      </c>
      <c r="O154" s="34"/>
      <c r="P154" s="30"/>
      <c r="Q154" s="30"/>
      <c r="R154" s="30"/>
      <c r="S154" s="30"/>
      <c r="T154" s="30"/>
      <c r="U154" s="38"/>
      <c r="V154" s="34"/>
      <c r="W154" s="30"/>
      <c r="X154" s="30"/>
      <c r="Y154" s="30"/>
      <c r="Z154" s="30"/>
      <c r="AA154" s="30"/>
      <c r="AB154" s="35">
        <v>2</v>
      </c>
      <c r="AD154" s="27">
        <f>IF(ISNUMBER(INDEX($A154:$AB154, MATCH(داشبرد!$D$5, $A$2:$AB$2, 0))), INDEX($A154:$AB154, MATCH(داشبرد!$D$5, $A$2:$AB$2, 0)), NA())</f>
        <v>7</v>
      </c>
    </row>
    <row r="155" spans="1:30" x14ac:dyDescent="0.3">
      <c r="A155" s="34"/>
      <c r="B155" s="30"/>
      <c r="C155" s="30"/>
      <c r="D155" s="30"/>
      <c r="E155" s="30"/>
      <c r="F155" s="30"/>
      <c r="G155" s="35">
        <v>6</v>
      </c>
      <c r="H155" s="34"/>
      <c r="I155" s="30"/>
      <c r="J155" s="30"/>
      <c r="K155" s="30"/>
      <c r="L155" s="30"/>
      <c r="M155" s="30"/>
      <c r="N155" s="38">
        <v>4</v>
      </c>
      <c r="O155" s="34"/>
      <c r="P155" s="30"/>
      <c r="Q155" s="30"/>
      <c r="R155" s="30"/>
      <c r="S155" s="30"/>
      <c r="T155" s="30"/>
      <c r="U155" s="38"/>
      <c r="V155" s="34"/>
      <c r="W155" s="30"/>
      <c r="X155" s="30"/>
      <c r="Y155" s="30"/>
      <c r="Z155" s="30"/>
      <c r="AA155" s="30"/>
      <c r="AB155" s="35">
        <v>1</v>
      </c>
      <c r="AD155" s="27">
        <f>IF(ISNUMBER(INDEX($A155:$AB155, MATCH(داشبرد!$D$5, $A$2:$AB$2, 0))), INDEX($A155:$AB155, MATCH(داشبرد!$D$5, $A$2:$AB$2, 0)), NA())</f>
        <v>6</v>
      </c>
    </row>
    <row r="156" spans="1:30" x14ac:dyDescent="0.3">
      <c r="A156" s="34"/>
      <c r="B156" s="30"/>
      <c r="C156" s="30"/>
      <c r="D156" s="30"/>
      <c r="E156" s="30"/>
      <c r="F156" s="30"/>
      <c r="G156" s="35">
        <v>46</v>
      </c>
      <c r="H156" s="34"/>
      <c r="I156" s="30"/>
      <c r="J156" s="30"/>
      <c r="K156" s="30"/>
      <c r="L156" s="30"/>
      <c r="M156" s="30"/>
      <c r="N156" s="38">
        <v>14</v>
      </c>
      <c r="O156" s="34"/>
      <c r="P156" s="30"/>
      <c r="Q156" s="30"/>
      <c r="R156" s="30"/>
      <c r="S156" s="30"/>
      <c r="T156" s="30"/>
      <c r="U156" s="38"/>
      <c r="V156" s="34"/>
      <c r="W156" s="30"/>
      <c r="X156" s="30"/>
      <c r="Y156" s="30"/>
      <c r="Z156" s="30"/>
      <c r="AA156" s="30"/>
      <c r="AB156" s="35">
        <v>3</v>
      </c>
      <c r="AD156" s="27">
        <f>IF(ISNUMBER(INDEX($A156:$AB156, MATCH(داشبرد!$D$5, $A$2:$AB$2, 0))), INDEX($A156:$AB156, MATCH(داشبرد!$D$5, $A$2:$AB$2, 0)), NA())</f>
        <v>46</v>
      </c>
    </row>
    <row r="157" spans="1:30" x14ac:dyDescent="0.3">
      <c r="A157" s="34"/>
      <c r="B157" s="30"/>
      <c r="C157" s="30"/>
      <c r="D157" s="30"/>
      <c r="E157" s="30"/>
      <c r="F157" s="30"/>
      <c r="G157" s="35">
        <v>46</v>
      </c>
      <c r="H157" s="34"/>
      <c r="I157" s="30"/>
      <c r="J157" s="30"/>
      <c r="K157" s="30"/>
      <c r="L157" s="30"/>
      <c r="M157" s="30"/>
      <c r="N157" s="38">
        <v>14</v>
      </c>
      <c r="O157" s="34"/>
      <c r="P157" s="30"/>
      <c r="Q157" s="30"/>
      <c r="R157" s="30"/>
      <c r="S157" s="30"/>
      <c r="T157" s="30"/>
      <c r="U157" s="38"/>
      <c r="V157" s="34"/>
      <c r="W157" s="30"/>
      <c r="X157" s="30"/>
      <c r="Y157" s="30"/>
      <c r="Z157" s="30"/>
      <c r="AA157" s="30"/>
      <c r="AB157" s="35">
        <v>3</v>
      </c>
      <c r="AD157" s="27">
        <f>IF(ISNUMBER(INDEX($A157:$AB157, MATCH(داشبرد!$D$5, $A$2:$AB$2, 0))), INDEX($A157:$AB157, MATCH(داشبرد!$D$5, $A$2:$AB$2, 0)), NA())</f>
        <v>46</v>
      </c>
    </row>
    <row r="158" spans="1:30" x14ac:dyDescent="0.3">
      <c r="A158" s="34"/>
      <c r="B158" s="30"/>
      <c r="C158" s="30"/>
      <c r="D158" s="30"/>
      <c r="E158" s="30"/>
      <c r="F158" s="30"/>
      <c r="G158" s="35">
        <v>46</v>
      </c>
      <c r="H158" s="34"/>
      <c r="I158" s="30"/>
      <c r="J158" s="30"/>
      <c r="K158" s="30"/>
      <c r="L158" s="30"/>
      <c r="M158" s="30"/>
      <c r="N158" s="38">
        <v>14</v>
      </c>
      <c r="O158" s="34"/>
      <c r="P158" s="30"/>
      <c r="Q158" s="30"/>
      <c r="R158" s="30"/>
      <c r="S158" s="30"/>
      <c r="T158" s="30"/>
      <c r="U158" s="38"/>
      <c r="V158" s="34"/>
      <c r="W158" s="30"/>
      <c r="X158" s="30"/>
      <c r="Y158" s="30"/>
      <c r="Z158" s="30"/>
      <c r="AA158" s="30"/>
      <c r="AB158" s="35">
        <v>3</v>
      </c>
      <c r="AD158" s="27">
        <f>IF(ISNUMBER(INDEX($A158:$AB158, MATCH(داشبرد!$D$5, $A$2:$AB$2, 0))), INDEX($A158:$AB158, MATCH(داشبرد!$D$5, $A$2:$AB$2, 0)), NA())</f>
        <v>46</v>
      </c>
    </row>
    <row r="159" spans="1:30" x14ac:dyDescent="0.3">
      <c r="A159" s="34"/>
      <c r="B159" s="30"/>
      <c r="C159" s="30"/>
      <c r="D159" s="30"/>
      <c r="E159" s="30"/>
      <c r="F159" s="30"/>
      <c r="G159" s="35">
        <v>19</v>
      </c>
      <c r="H159" s="34"/>
      <c r="I159" s="30"/>
      <c r="J159" s="30"/>
      <c r="K159" s="30"/>
      <c r="L159" s="30"/>
      <c r="M159" s="30"/>
      <c r="N159" s="38">
        <v>14</v>
      </c>
      <c r="O159" s="34"/>
      <c r="P159" s="30"/>
      <c r="Q159" s="30"/>
      <c r="R159" s="30"/>
      <c r="S159" s="30"/>
      <c r="T159" s="30"/>
      <c r="U159" s="38"/>
      <c r="V159" s="34"/>
      <c r="W159" s="30"/>
      <c r="X159" s="30"/>
      <c r="Y159" s="30"/>
      <c r="Z159" s="30"/>
      <c r="AA159" s="30"/>
      <c r="AB159" s="35">
        <v>3</v>
      </c>
      <c r="AD159" s="27">
        <f>IF(ISNUMBER(INDEX($A159:$AB159, MATCH(داشبرد!$D$5, $A$2:$AB$2, 0))), INDEX($A159:$AB159, MATCH(داشبرد!$D$5, $A$2:$AB$2, 0)), NA())</f>
        <v>19</v>
      </c>
    </row>
    <row r="160" spans="1:30" x14ac:dyDescent="0.3">
      <c r="A160" s="34"/>
      <c r="B160" s="30"/>
      <c r="C160" s="30"/>
      <c r="D160" s="30"/>
      <c r="E160" s="30"/>
      <c r="F160" s="30"/>
      <c r="G160" s="35">
        <v>18</v>
      </c>
      <c r="H160" s="34"/>
      <c r="I160" s="30"/>
      <c r="J160" s="30"/>
      <c r="K160" s="30"/>
      <c r="L160" s="30"/>
      <c r="M160" s="30"/>
      <c r="N160" s="38">
        <v>14</v>
      </c>
      <c r="O160" s="34"/>
      <c r="P160" s="30"/>
      <c r="Q160" s="30"/>
      <c r="R160" s="30"/>
      <c r="S160" s="30"/>
      <c r="T160" s="30"/>
      <c r="U160" s="38"/>
      <c r="V160" s="34"/>
      <c r="W160" s="30"/>
      <c r="X160" s="30"/>
      <c r="Y160" s="30"/>
      <c r="Z160" s="30"/>
      <c r="AA160" s="30"/>
      <c r="AB160" s="35">
        <v>2</v>
      </c>
      <c r="AD160" s="27">
        <f>IF(ISNUMBER(INDEX($A160:$AB160, MATCH(داشبرد!$D$5, $A$2:$AB$2, 0))), INDEX($A160:$AB160, MATCH(داشبرد!$D$5, $A$2:$AB$2, 0)), NA())</f>
        <v>18</v>
      </c>
    </row>
    <row r="161" spans="1:30" x14ac:dyDescent="0.3">
      <c r="A161" s="34"/>
      <c r="B161" s="30"/>
      <c r="C161" s="30"/>
      <c r="D161" s="30"/>
      <c r="E161" s="30"/>
      <c r="F161" s="30"/>
      <c r="G161" s="35">
        <v>18</v>
      </c>
      <c r="H161" s="34"/>
      <c r="I161" s="30"/>
      <c r="J161" s="30"/>
      <c r="K161" s="30"/>
      <c r="L161" s="30"/>
      <c r="M161" s="30"/>
      <c r="N161" s="38">
        <v>14</v>
      </c>
      <c r="O161" s="34"/>
      <c r="P161" s="30"/>
      <c r="Q161" s="30"/>
      <c r="R161" s="30"/>
      <c r="S161" s="30"/>
      <c r="T161" s="30"/>
      <c r="U161" s="38"/>
      <c r="V161" s="34"/>
      <c r="W161" s="30"/>
      <c r="X161" s="30"/>
      <c r="Y161" s="30"/>
      <c r="Z161" s="30"/>
      <c r="AA161" s="30"/>
      <c r="AB161" s="35">
        <v>2</v>
      </c>
      <c r="AD161" s="27">
        <f>IF(ISNUMBER(INDEX($A161:$AB161, MATCH(داشبرد!$D$5, $A$2:$AB$2, 0))), INDEX($A161:$AB161, MATCH(داشبرد!$D$5, $A$2:$AB$2, 0)), NA())</f>
        <v>18</v>
      </c>
    </row>
    <row r="162" spans="1:30" x14ac:dyDescent="0.3">
      <c r="A162" s="34"/>
      <c r="B162" s="30"/>
      <c r="C162" s="30"/>
      <c r="D162" s="30"/>
      <c r="E162" s="30"/>
      <c r="F162" s="30"/>
      <c r="G162" s="35">
        <v>21</v>
      </c>
      <c r="H162" s="34"/>
      <c r="I162" s="30"/>
      <c r="J162" s="30"/>
      <c r="K162" s="30"/>
      <c r="L162" s="30"/>
      <c r="M162" s="30"/>
      <c r="N162" s="38">
        <v>14</v>
      </c>
      <c r="O162" s="34"/>
      <c r="P162" s="30"/>
      <c r="Q162" s="30"/>
      <c r="R162" s="30"/>
      <c r="S162" s="30"/>
      <c r="T162" s="30"/>
      <c r="U162" s="38"/>
      <c r="V162" s="34"/>
      <c r="W162" s="30"/>
      <c r="X162" s="30"/>
      <c r="Y162" s="30"/>
      <c r="Z162" s="30"/>
      <c r="AA162" s="30"/>
      <c r="AB162" s="35">
        <v>5</v>
      </c>
      <c r="AD162" s="27">
        <f>IF(ISNUMBER(INDEX($A162:$AB162, MATCH(داشبرد!$D$5, $A$2:$AB$2, 0))), INDEX($A162:$AB162, MATCH(داشبرد!$D$5, $A$2:$AB$2, 0)), NA())</f>
        <v>21</v>
      </c>
    </row>
    <row r="163" spans="1:30" x14ac:dyDescent="0.3">
      <c r="A163" s="34"/>
      <c r="B163" s="30"/>
      <c r="C163" s="30"/>
      <c r="D163" s="30"/>
      <c r="E163" s="30"/>
      <c r="F163" s="30"/>
      <c r="G163" s="35">
        <v>5</v>
      </c>
      <c r="H163" s="34"/>
      <c r="I163" s="30"/>
      <c r="J163" s="30"/>
      <c r="K163" s="30"/>
      <c r="L163" s="30"/>
      <c r="M163" s="30"/>
      <c r="N163" s="38">
        <v>3</v>
      </c>
      <c r="O163" s="34"/>
      <c r="P163" s="30"/>
      <c r="Q163" s="30"/>
      <c r="R163" s="30"/>
      <c r="S163" s="30"/>
      <c r="T163" s="30"/>
      <c r="U163" s="38"/>
      <c r="V163" s="34"/>
      <c r="W163" s="30"/>
      <c r="X163" s="30"/>
      <c r="Y163" s="30"/>
      <c r="Z163" s="30"/>
      <c r="AA163" s="30"/>
      <c r="AB163" s="35">
        <v>2</v>
      </c>
      <c r="AD163" s="27">
        <f>IF(ISNUMBER(INDEX($A163:$AB163, MATCH(داشبرد!$D$5, $A$2:$AB$2, 0))), INDEX($A163:$AB163, MATCH(داشبرد!$D$5, $A$2:$AB$2, 0)), NA())</f>
        <v>5</v>
      </c>
    </row>
    <row r="164" spans="1:30" x14ac:dyDescent="0.3">
      <c r="A164" s="34"/>
      <c r="B164" s="30"/>
      <c r="C164" s="30"/>
      <c r="D164" s="30"/>
      <c r="E164" s="30"/>
      <c r="F164" s="30"/>
      <c r="G164" s="35">
        <v>5</v>
      </c>
      <c r="H164" s="34"/>
      <c r="I164" s="30"/>
      <c r="J164" s="30"/>
      <c r="K164" s="30"/>
      <c r="L164" s="30"/>
      <c r="M164" s="30"/>
      <c r="N164" s="38">
        <v>3</v>
      </c>
      <c r="O164" s="34"/>
      <c r="P164" s="30"/>
      <c r="Q164" s="30"/>
      <c r="R164" s="30"/>
      <c r="S164" s="30"/>
      <c r="T164" s="30"/>
      <c r="U164" s="38"/>
      <c r="V164" s="34"/>
      <c r="W164" s="30"/>
      <c r="X164" s="30"/>
      <c r="Y164" s="30"/>
      <c r="Z164" s="30"/>
      <c r="AA164" s="30"/>
      <c r="AB164" s="35">
        <v>2</v>
      </c>
      <c r="AD164" s="27">
        <f>IF(ISNUMBER(INDEX($A164:$AB164, MATCH(داشبرد!$D$5, $A$2:$AB$2, 0))), INDEX($A164:$AB164, MATCH(داشبرد!$D$5, $A$2:$AB$2, 0)), NA())</f>
        <v>5</v>
      </c>
    </row>
    <row r="165" spans="1:30" x14ac:dyDescent="0.3">
      <c r="A165" s="34"/>
      <c r="B165" s="30"/>
      <c r="C165" s="30"/>
      <c r="D165" s="30"/>
      <c r="E165" s="30"/>
      <c r="F165" s="30"/>
      <c r="G165" s="35">
        <v>5</v>
      </c>
      <c r="H165" s="34"/>
      <c r="I165" s="30"/>
      <c r="J165" s="30"/>
      <c r="K165" s="30"/>
      <c r="L165" s="30"/>
      <c r="M165" s="30"/>
      <c r="N165" s="38">
        <v>3</v>
      </c>
      <c r="O165" s="34"/>
      <c r="P165" s="30"/>
      <c r="Q165" s="30"/>
      <c r="R165" s="30"/>
      <c r="S165" s="30"/>
      <c r="T165" s="30"/>
      <c r="U165" s="38"/>
      <c r="V165" s="34"/>
      <c r="W165" s="30"/>
      <c r="X165" s="30"/>
      <c r="Y165" s="30"/>
      <c r="Z165" s="30"/>
      <c r="AA165" s="30"/>
      <c r="AB165" s="35">
        <v>2</v>
      </c>
      <c r="AD165" s="27">
        <f>IF(ISNUMBER(INDEX($A165:$AB165, MATCH(داشبرد!$D$5, $A$2:$AB$2, 0))), INDEX($A165:$AB165, MATCH(داشبرد!$D$5, $A$2:$AB$2, 0)), NA())</f>
        <v>5</v>
      </c>
    </row>
    <row r="166" spans="1:30" x14ac:dyDescent="0.3">
      <c r="A166" s="34"/>
      <c r="B166" s="30"/>
      <c r="C166" s="30"/>
      <c r="D166" s="30"/>
      <c r="E166" s="30"/>
      <c r="F166" s="30"/>
      <c r="G166" s="35">
        <v>13</v>
      </c>
      <c r="H166" s="34"/>
      <c r="I166" s="30"/>
      <c r="J166" s="30"/>
      <c r="K166" s="30"/>
      <c r="L166" s="30"/>
      <c r="M166" s="30"/>
      <c r="N166" s="38">
        <v>8</v>
      </c>
      <c r="O166" s="34"/>
      <c r="P166" s="30"/>
      <c r="Q166" s="30"/>
      <c r="R166" s="30"/>
      <c r="S166" s="30"/>
      <c r="T166" s="30"/>
      <c r="U166" s="38"/>
      <c r="V166" s="34"/>
      <c r="W166" s="30"/>
      <c r="X166" s="30"/>
      <c r="Y166" s="30"/>
      <c r="Z166" s="30"/>
      <c r="AA166" s="30"/>
      <c r="AB166" s="35">
        <v>3</v>
      </c>
      <c r="AD166" s="27">
        <f>IF(ISNUMBER(INDEX($A166:$AB166, MATCH(داشبرد!$D$5, $A$2:$AB$2, 0))), INDEX($A166:$AB166, MATCH(داشبرد!$D$5, $A$2:$AB$2, 0)), NA())</f>
        <v>13</v>
      </c>
    </row>
    <row r="167" spans="1:30" x14ac:dyDescent="0.3">
      <c r="A167" s="34"/>
      <c r="B167" s="30"/>
      <c r="C167" s="30"/>
      <c r="D167" s="30"/>
      <c r="E167" s="30"/>
      <c r="F167" s="30"/>
      <c r="G167" s="35">
        <v>13</v>
      </c>
      <c r="H167" s="34"/>
      <c r="I167" s="30"/>
      <c r="J167" s="30"/>
      <c r="K167" s="30"/>
      <c r="L167" s="30"/>
      <c r="M167" s="30"/>
      <c r="N167" s="38">
        <v>8</v>
      </c>
      <c r="O167" s="34"/>
      <c r="P167" s="30"/>
      <c r="Q167" s="30"/>
      <c r="R167" s="30"/>
      <c r="S167" s="30"/>
      <c r="T167" s="30"/>
      <c r="U167" s="38"/>
      <c r="V167" s="34"/>
      <c r="W167" s="30"/>
      <c r="X167" s="30"/>
      <c r="Y167" s="30"/>
      <c r="Z167" s="30"/>
      <c r="AA167" s="30"/>
      <c r="AB167" s="35">
        <v>3</v>
      </c>
      <c r="AD167" s="27">
        <f>IF(ISNUMBER(INDEX($A167:$AB167, MATCH(داشبرد!$D$5, $A$2:$AB$2, 0))), INDEX($A167:$AB167, MATCH(داشبرد!$D$5, $A$2:$AB$2, 0)), NA())</f>
        <v>13</v>
      </c>
    </row>
    <row r="168" spans="1:30" x14ac:dyDescent="0.3">
      <c r="A168" s="34"/>
      <c r="B168" s="30"/>
      <c r="C168" s="30"/>
      <c r="D168" s="30"/>
      <c r="E168" s="30"/>
      <c r="F168" s="30"/>
      <c r="G168" s="35">
        <v>14</v>
      </c>
      <c r="H168" s="34"/>
      <c r="I168" s="30"/>
      <c r="J168" s="30"/>
      <c r="K168" s="30"/>
      <c r="L168" s="30"/>
      <c r="M168" s="30"/>
      <c r="N168" s="38">
        <v>8</v>
      </c>
      <c r="O168" s="34"/>
      <c r="P168" s="30"/>
      <c r="Q168" s="30"/>
      <c r="R168" s="30"/>
      <c r="S168" s="30"/>
      <c r="T168" s="30"/>
      <c r="U168" s="38"/>
      <c r="V168" s="34"/>
      <c r="W168" s="30"/>
      <c r="X168" s="30"/>
      <c r="Y168" s="30"/>
      <c r="Z168" s="30"/>
      <c r="AA168" s="30"/>
      <c r="AB168" s="35">
        <v>4</v>
      </c>
      <c r="AD168" s="27">
        <f>IF(ISNUMBER(INDEX($A168:$AB168, MATCH(داشبرد!$D$5, $A$2:$AB$2, 0))), INDEX($A168:$AB168, MATCH(داشبرد!$D$5, $A$2:$AB$2, 0)), NA())</f>
        <v>14</v>
      </c>
    </row>
    <row r="169" spans="1:30" x14ac:dyDescent="0.3">
      <c r="A169" s="34"/>
      <c r="B169" s="30"/>
      <c r="C169" s="30"/>
      <c r="D169" s="30"/>
      <c r="E169" s="30"/>
      <c r="F169" s="30"/>
      <c r="G169" s="35">
        <v>13</v>
      </c>
      <c r="H169" s="34"/>
      <c r="I169" s="30"/>
      <c r="J169" s="30"/>
      <c r="K169" s="30"/>
      <c r="L169" s="30"/>
      <c r="M169" s="30"/>
      <c r="N169" s="38">
        <v>8</v>
      </c>
      <c r="O169" s="34"/>
      <c r="P169" s="30"/>
      <c r="Q169" s="30"/>
      <c r="R169" s="30"/>
      <c r="S169" s="30"/>
      <c r="T169" s="30"/>
      <c r="U169" s="38"/>
      <c r="V169" s="34"/>
      <c r="W169" s="30"/>
      <c r="X169" s="30"/>
      <c r="Y169" s="30"/>
      <c r="Z169" s="30"/>
      <c r="AA169" s="30"/>
      <c r="AB169" s="35">
        <v>3</v>
      </c>
      <c r="AD169" s="27">
        <f>IF(ISNUMBER(INDEX($A169:$AB169, MATCH(داشبرد!$D$5, $A$2:$AB$2, 0))), INDEX($A169:$AB169, MATCH(داشبرد!$D$5, $A$2:$AB$2, 0)), NA())</f>
        <v>13</v>
      </c>
    </row>
    <row r="170" spans="1:30" x14ac:dyDescent="0.3">
      <c r="A170" s="34"/>
      <c r="B170" s="30"/>
      <c r="C170" s="30"/>
      <c r="D170" s="30"/>
      <c r="E170" s="30"/>
      <c r="F170" s="30"/>
      <c r="G170" s="35">
        <v>14</v>
      </c>
      <c r="H170" s="34"/>
      <c r="I170" s="30"/>
      <c r="J170" s="30"/>
      <c r="K170" s="30"/>
      <c r="L170" s="30"/>
      <c r="M170" s="30"/>
      <c r="N170" s="38">
        <v>10</v>
      </c>
      <c r="O170" s="34"/>
      <c r="P170" s="30"/>
      <c r="Q170" s="30"/>
      <c r="R170" s="30"/>
      <c r="S170" s="30"/>
      <c r="T170" s="30"/>
      <c r="U170" s="38"/>
      <c r="V170" s="34"/>
      <c r="W170" s="30"/>
      <c r="X170" s="30"/>
      <c r="Y170" s="30"/>
      <c r="Z170" s="30"/>
      <c r="AA170" s="30"/>
      <c r="AB170" s="35">
        <v>2</v>
      </c>
      <c r="AD170" s="27">
        <f>IF(ISNUMBER(INDEX($A170:$AB170, MATCH(داشبرد!$D$5, $A$2:$AB$2, 0))), INDEX($A170:$AB170, MATCH(داشبرد!$D$5, $A$2:$AB$2, 0)), NA())</f>
        <v>14</v>
      </c>
    </row>
    <row r="171" spans="1:30" x14ac:dyDescent="0.3">
      <c r="A171" s="34"/>
      <c r="B171" s="30"/>
      <c r="C171" s="30"/>
      <c r="D171" s="30"/>
      <c r="E171" s="30"/>
      <c r="F171" s="30"/>
      <c r="G171" s="35">
        <v>14</v>
      </c>
      <c r="H171" s="34"/>
      <c r="I171" s="30"/>
      <c r="J171" s="30"/>
      <c r="K171" s="30"/>
      <c r="L171" s="30"/>
      <c r="M171" s="30"/>
      <c r="N171" s="38">
        <v>10</v>
      </c>
      <c r="O171" s="34"/>
      <c r="P171" s="30"/>
      <c r="Q171" s="30"/>
      <c r="R171" s="30"/>
      <c r="S171" s="30"/>
      <c r="T171" s="30"/>
      <c r="U171" s="38"/>
      <c r="V171" s="34"/>
      <c r="W171" s="30"/>
      <c r="X171" s="30"/>
      <c r="Y171" s="30"/>
      <c r="Z171" s="30"/>
      <c r="AA171" s="30"/>
      <c r="AB171" s="35">
        <v>2</v>
      </c>
      <c r="AD171" s="27">
        <f>IF(ISNUMBER(INDEX($A171:$AB171, MATCH(داشبرد!$D$5, $A$2:$AB$2, 0))), INDEX($A171:$AB171, MATCH(داشبرد!$D$5, $A$2:$AB$2, 0)), NA())</f>
        <v>14</v>
      </c>
    </row>
    <row r="172" spans="1:30" x14ac:dyDescent="0.3">
      <c r="A172" s="34"/>
      <c r="B172" s="30"/>
      <c r="C172" s="30"/>
      <c r="D172" s="30"/>
      <c r="E172" s="30"/>
      <c r="F172" s="30"/>
      <c r="G172" s="35">
        <v>15</v>
      </c>
      <c r="H172" s="34"/>
      <c r="I172" s="30"/>
      <c r="J172" s="30"/>
      <c r="K172" s="30"/>
      <c r="L172" s="30"/>
      <c r="M172" s="30"/>
      <c r="N172" s="38">
        <v>10</v>
      </c>
      <c r="O172" s="34"/>
      <c r="P172" s="30"/>
      <c r="Q172" s="30"/>
      <c r="R172" s="30"/>
      <c r="S172" s="30"/>
      <c r="T172" s="30"/>
      <c r="U172" s="38"/>
      <c r="V172" s="34"/>
      <c r="W172" s="30"/>
      <c r="X172" s="30"/>
      <c r="Y172" s="30"/>
      <c r="Z172" s="30"/>
      <c r="AA172" s="30"/>
      <c r="AB172" s="35">
        <v>4</v>
      </c>
      <c r="AD172" s="27">
        <f>IF(ISNUMBER(INDEX($A172:$AB172, MATCH(داشبرد!$D$5, $A$2:$AB$2, 0))), INDEX($A172:$AB172, MATCH(داشبرد!$D$5, $A$2:$AB$2, 0)), NA())</f>
        <v>15</v>
      </c>
    </row>
    <row r="173" spans="1:30" x14ac:dyDescent="0.3">
      <c r="A173" s="34"/>
      <c r="B173" s="30"/>
      <c r="C173" s="30"/>
      <c r="D173" s="30"/>
      <c r="E173" s="30"/>
      <c r="F173" s="30"/>
      <c r="G173" s="35">
        <v>14</v>
      </c>
      <c r="H173" s="34"/>
      <c r="I173" s="30"/>
      <c r="J173" s="30"/>
      <c r="K173" s="30"/>
      <c r="L173" s="30"/>
      <c r="M173" s="30"/>
      <c r="N173" s="38">
        <v>10</v>
      </c>
      <c r="O173" s="34"/>
      <c r="P173" s="30"/>
      <c r="Q173" s="30"/>
      <c r="R173" s="30"/>
      <c r="S173" s="30"/>
      <c r="T173" s="30"/>
      <c r="U173" s="38"/>
      <c r="V173" s="34"/>
      <c r="W173" s="30"/>
      <c r="X173" s="30"/>
      <c r="Y173" s="30"/>
      <c r="Z173" s="30"/>
      <c r="AA173" s="30"/>
      <c r="AB173" s="35">
        <v>3</v>
      </c>
      <c r="AD173" s="27">
        <f>IF(ISNUMBER(INDEX($A173:$AB173, MATCH(داشبرد!$D$5, $A$2:$AB$2, 0))), INDEX($A173:$AB173, MATCH(داشبرد!$D$5, $A$2:$AB$2, 0)), NA())</f>
        <v>14</v>
      </c>
    </row>
    <row r="174" spans="1:30" x14ac:dyDescent="0.3">
      <c r="A174" s="34"/>
      <c r="B174" s="30"/>
      <c r="C174" s="30"/>
      <c r="D174" s="30"/>
      <c r="E174" s="30"/>
      <c r="F174" s="30"/>
      <c r="G174" s="35">
        <v>14</v>
      </c>
      <c r="H174" s="34"/>
      <c r="I174" s="30"/>
      <c r="J174" s="30"/>
      <c r="K174" s="30"/>
      <c r="L174" s="30"/>
      <c r="M174" s="30"/>
      <c r="N174" s="38">
        <v>10</v>
      </c>
      <c r="O174" s="34"/>
      <c r="P174" s="30"/>
      <c r="Q174" s="30"/>
      <c r="R174" s="30"/>
      <c r="S174" s="30"/>
      <c r="T174" s="30"/>
      <c r="U174" s="38"/>
      <c r="V174" s="34"/>
      <c r="W174" s="30"/>
      <c r="X174" s="30"/>
      <c r="Y174" s="30"/>
      <c r="Z174" s="30"/>
      <c r="AA174" s="30"/>
      <c r="AB174" s="35">
        <v>3</v>
      </c>
      <c r="AD174" s="27">
        <f>IF(ISNUMBER(INDEX($A174:$AB174, MATCH(داشبرد!$D$5, $A$2:$AB$2, 0))), INDEX($A174:$AB174, MATCH(داشبرد!$D$5, $A$2:$AB$2, 0)), NA())</f>
        <v>14</v>
      </c>
    </row>
    <row r="175" spans="1:30" x14ac:dyDescent="0.3">
      <c r="A175" s="34"/>
      <c r="B175" s="30"/>
      <c r="C175" s="30"/>
      <c r="D175" s="30"/>
      <c r="E175" s="30"/>
      <c r="F175" s="30"/>
      <c r="G175" s="35">
        <v>57</v>
      </c>
      <c r="H175" s="34"/>
      <c r="I175" s="30"/>
      <c r="J175" s="30"/>
      <c r="K175" s="30"/>
      <c r="L175" s="30"/>
      <c r="M175" s="30"/>
      <c r="N175" s="38">
        <v>10</v>
      </c>
      <c r="O175" s="34"/>
      <c r="P175" s="30"/>
      <c r="Q175" s="30"/>
      <c r="R175" s="30"/>
      <c r="S175" s="30"/>
      <c r="T175" s="30"/>
      <c r="U175" s="38"/>
      <c r="V175" s="34"/>
      <c r="W175" s="30"/>
      <c r="X175" s="30"/>
      <c r="Y175" s="30"/>
      <c r="Z175" s="30"/>
      <c r="AA175" s="30"/>
      <c r="AB175" s="35">
        <v>2</v>
      </c>
      <c r="AD175" s="27">
        <f>IF(ISNUMBER(INDEX($A175:$AB175, MATCH(داشبرد!$D$5, $A$2:$AB$2, 0))), INDEX($A175:$AB175, MATCH(داشبرد!$D$5, $A$2:$AB$2, 0)), NA())</f>
        <v>57</v>
      </c>
    </row>
    <row r="176" spans="1:30" x14ac:dyDescent="0.3">
      <c r="A176" s="34"/>
      <c r="B176" s="30"/>
      <c r="C176" s="30"/>
      <c r="D176" s="30"/>
      <c r="E176" s="30"/>
      <c r="F176" s="30"/>
      <c r="G176" s="35">
        <v>59</v>
      </c>
      <c r="H176" s="34"/>
      <c r="I176" s="30"/>
      <c r="J176" s="30"/>
      <c r="K176" s="30"/>
      <c r="L176" s="30"/>
      <c r="M176" s="30"/>
      <c r="N176" s="38">
        <v>10</v>
      </c>
      <c r="O176" s="34"/>
      <c r="P176" s="30"/>
      <c r="Q176" s="30"/>
      <c r="R176" s="30"/>
      <c r="S176" s="30"/>
      <c r="T176" s="30"/>
      <c r="U176" s="38"/>
      <c r="V176" s="34"/>
      <c r="W176" s="30"/>
      <c r="X176" s="30"/>
      <c r="Y176" s="30"/>
      <c r="Z176" s="30"/>
      <c r="AA176" s="30"/>
      <c r="AB176" s="35">
        <v>4</v>
      </c>
      <c r="AD176" s="27">
        <f>IF(ISNUMBER(INDEX($A176:$AB176, MATCH(داشبرد!$D$5, $A$2:$AB$2, 0))), INDEX($A176:$AB176, MATCH(داشبرد!$D$5, $A$2:$AB$2, 0)), NA())</f>
        <v>59</v>
      </c>
    </row>
    <row r="177" spans="1:30" x14ac:dyDescent="0.3">
      <c r="A177" s="34"/>
      <c r="B177" s="30"/>
      <c r="C177" s="30"/>
      <c r="D177" s="30"/>
      <c r="E177" s="30"/>
      <c r="F177" s="30"/>
      <c r="G177" s="35">
        <v>58</v>
      </c>
      <c r="H177" s="34"/>
      <c r="I177" s="30"/>
      <c r="J177" s="30"/>
      <c r="K177" s="30"/>
      <c r="L177" s="30"/>
      <c r="M177" s="30"/>
      <c r="N177" s="38">
        <v>10</v>
      </c>
      <c r="O177" s="34"/>
      <c r="P177" s="30"/>
      <c r="Q177" s="30"/>
      <c r="R177" s="30"/>
      <c r="S177" s="30"/>
      <c r="T177" s="30"/>
      <c r="U177" s="38"/>
      <c r="V177" s="34"/>
      <c r="W177" s="30"/>
      <c r="X177" s="30"/>
      <c r="Y177" s="30"/>
      <c r="Z177" s="30"/>
      <c r="AA177" s="30"/>
      <c r="AB177" s="35">
        <v>2</v>
      </c>
      <c r="AD177" s="27">
        <f>IF(ISNUMBER(INDEX($A177:$AB177, MATCH(داشبرد!$D$5, $A$2:$AB$2, 0))), INDEX($A177:$AB177, MATCH(داشبرد!$D$5, $A$2:$AB$2, 0)), NA())</f>
        <v>58</v>
      </c>
    </row>
    <row r="178" spans="1:30" x14ac:dyDescent="0.3">
      <c r="A178" s="34"/>
      <c r="B178" s="30"/>
      <c r="C178" s="30"/>
      <c r="D178" s="30"/>
      <c r="E178" s="30"/>
      <c r="F178" s="30"/>
      <c r="G178" s="35">
        <v>68</v>
      </c>
      <c r="H178" s="34"/>
      <c r="I178" s="30"/>
      <c r="J178" s="30"/>
      <c r="K178" s="30"/>
      <c r="L178" s="30"/>
      <c r="M178" s="30"/>
      <c r="N178" s="38">
        <v>24</v>
      </c>
      <c r="O178" s="34"/>
      <c r="P178" s="30"/>
      <c r="Q178" s="30"/>
      <c r="R178" s="30"/>
      <c r="S178" s="30"/>
      <c r="T178" s="30"/>
      <c r="U178" s="38"/>
      <c r="V178" s="34"/>
      <c r="W178" s="30"/>
      <c r="X178" s="30"/>
      <c r="Y178" s="30"/>
      <c r="Z178" s="30"/>
      <c r="AA178" s="30"/>
      <c r="AB178" s="35">
        <v>2</v>
      </c>
      <c r="AD178" s="27">
        <f>IF(ISNUMBER(INDEX($A178:$AB178, MATCH(داشبرد!$D$5, $A$2:$AB$2, 0))), INDEX($A178:$AB178, MATCH(داشبرد!$D$5, $A$2:$AB$2, 0)), NA())</f>
        <v>68</v>
      </c>
    </row>
    <row r="179" spans="1:30" x14ac:dyDescent="0.3">
      <c r="A179" s="34"/>
      <c r="B179" s="30"/>
      <c r="C179" s="30"/>
      <c r="D179" s="30"/>
      <c r="E179" s="30"/>
      <c r="F179" s="30"/>
      <c r="G179" s="35">
        <v>69</v>
      </c>
      <c r="H179" s="34"/>
      <c r="I179" s="30"/>
      <c r="J179" s="30"/>
      <c r="K179" s="30"/>
      <c r="L179" s="30"/>
      <c r="M179" s="30"/>
      <c r="N179" s="38">
        <v>24</v>
      </c>
      <c r="O179" s="34"/>
      <c r="P179" s="30"/>
      <c r="Q179" s="30"/>
      <c r="R179" s="30"/>
      <c r="S179" s="30"/>
      <c r="T179" s="30"/>
      <c r="U179" s="38"/>
      <c r="V179" s="34"/>
      <c r="W179" s="30"/>
      <c r="X179" s="30"/>
      <c r="Y179" s="30"/>
      <c r="Z179" s="30"/>
      <c r="AA179" s="30"/>
      <c r="AB179" s="35">
        <v>3</v>
      </c>
      <c r="AD179" s="27">
        <f>IF(ISNUMBER(INDEX($A179:$AB179, MATCH(داشبرد!$D$5, $A$2:$AB$2, 0))), INDEX($A179:$AB179, MATCH(داشبرد!$D$5, $A$2:$AB$2, 0)), NA())</f>
        <v>69</v>
      </c>
    </row>
    <row r="180" spans="1:30" x14ac:dyDescent="0.3">
      <c r="A180" s="34"/>
      <c r="B180" s="30"/>
      <c r="C180" s="30"/>
      <c r="D180" s="30"/>
      <c r="E180" s="30"/>
      <c r="F180" s="30"/>
      <c r="G180" s="35">
        <v>69</v>
      </c>
      <c r="H180" s="34"/>
      <c r="I180" s="30"/>
      <c r="J180" s="30"/>
      <c r="K180" s="30"/>
      <c r="L180" s="30"/>
      <c r="M180" s="30"/>
      <c r="N180" s="38">
        <v>24</v>
      </c>
      <c r="O180" s="34"/>
      <c r="P180" s="30"/>
      <c r="Q180" s="30"/>
      <c r="R180" s="30"/>
      <c r="S180" s="30"/>
      <c r="T180" s="30"/>
      <c r="U180" s="38"/>
      <c r="V180" s="34"/>
      <c r="W180" s="30"/>
      <c r="X180" s="30"/>
      <c r="Y180" s="30"/>
      <c r="Z180" s="30"/>
      <c r="AA180" s="30"/>
      <c r="AB180" s="35">
        <v>3</v>
      </c>
      <c r="AD180" s="27">
        <f>IF(ISNUMBER(INDEX($A180:$AB180, MATCH(داشبرد!$D$5, $A$2:$AB$2, 0))), INDEX($A180:$AB180, MATCH(داشبرد!$D$5, $A$2:$AB$2, 0)), NA())</f>
        <v>69</v>
      </c>
    </row>
    <row r="181" spans="1:30" x14ac:dyDescent="0.3">
      <c r="A181" s="34"/>
      <c r="B181" s="30"/>
      <c r="C181" s="30"/>
      <c r="D181" s="30"/>
      <c r="E181" s="30"/>
      <c r="F181" s="30"/>
      <c r="G181" s="35">
        <v>49</v>
      </c>
      <c r="H181" s="34"/>
      <c r="I181" s="30"/>
      <c r="J181" s="30"/>
      <c r="K181" s="30"/>
      <c r="L181" s="30"/>
      <c r="M181" s="30"/>
      <c r="N181" s="38">
        <v>45</v>
      </c>
      <c r="O181" s="34"/>
      <c r="P181" s="30"/>
      <c r="Q181" s="30"/>
      <c r="R181" s="30"/>
      <c r="S181" s="30"/>
      <c r="T181" s="30"/>
      <c r="U181" s="38"/>
      <c r="V181" s="34"/>
      <c r="W181" s="30"/>
      <c r="X181" s="30"/>
      <c r="Y181" s="30"/>
      <c r="Z181" s="30"/>
      <c r="AA181" s="30"/>
      <c r="AB181" s="35">
        <v>2</v>
      </c>
      <c r="AD181" s="27">
        <f>IF(ISNUMBER(INDEX($A181:$AB181, MATCH(داشبرد!$D$5, $A$2:$AB$2, 0))), INDEX($A181:$AB181, MATCH(داشبرد!$D$5, $A$2:$AB$2, 0)), NA())</f>
        <v>49</v>
      </c>
    </row>
    <row r="182" spans="1:30" x14ac:dyDescent="0.3">
      <c r="A182" s="34"/>
      <c r="B182" s="30"/>
      <c r="C182" s="30"/>
      <c r="D182" s="30"/>
      <c r="E182" s="30"/>
      <c r="F182" s="30"/>
      <c r="G182" s="35">
        <v>49</v>
      </c>
      <c r="H182" s="34"/>
      <c r="I182" s="30"/>
      <c r="J182" s="30"/>
      <c r="K182" s="30"/>
      <c r="L182" s="30"/>
      <c r="M182" s="30"/>
      <c r="N182" s="38">
        <v>45</v>
      </c>
      <c r="O182" s="34"/>
      <c r="P182" s="30"/>
      <c r="Q182" s="30"/>
      <c r="R182" s="30"/>
      <c r="S182" s="30"/>
      <c r="T182" s="30"/>
      <c r="U182" s="38"/>
      <c r="V182" s="34"/>
      <c r="W182" s="30"/>
      <c r="X182" s="30"/>
      <c r="Y182" s="30"/>
      <c r="Z182" s="30"/>
      <c r="AA182" s="30"/>
      <c r="AB182" s="35">
        <v>2</v>
      </c>
      <c r="AD182" s="27">
        <f>IF(ISNUMBER(INDEX($A182:$AB182, MATCH(داشبرد!$D$5, $A$2:$AB$2, 0))), INDEX($A182:$AB182, MATCH(داشبرد!$D$5, $A$2:$AB$2, 0)), NA())</f>
        <v>49</v>
      </c>
    </row>
    <row r="183" spans="1:30" x14ac:dyDescent="0.3">
      <c r="A183" s="34"/>
      <c r="B183" s="30"/>
      <c r="C183" s="30"/>
      <c r="D183" s="30"/>
      <c r="E183" s="30"/>
      <c r="F183" s="30"/>
      <c r="G183" s="35">
        <v>48</v>
      </c>
      <c r="H183" s="34"/>
      <c r="I183" s="30"/>
      <c r="J183" s="30"/>
      <c r="K183" s="30"/>
      <c r="L183" s="30"/>
      <c r="M183" s="30"/>
      <c r="N183" s="38">
        <v>45</v>
      </c>
      <c r="O183" s="34"/>
      <c r="P183" s="30"/>
      <c r="Q183" s="30"/>
      <c r="R183" s="30"/>
      <c r="S183" s="30"/>
      <c r="T183" s="30"/>
      <c r="U183" s="38"/>
      <c r="V183" s="34"/>
      <c r="W183" s="30"/>
      <c r="X183" s="30"/>
      <c r="Y183" s="30"/>
      <c r="Z183" s="30"/>
      <c r="AA183" s="30"/>
      <c r="AB183" s="35">
        <v>1</v>
      </c>
      <c r="AD183" s="27">
        <f>IF(ISNUMBER(INDEX($A183:$AB183, MATCH(داشبرد!$D$5, $A$2:$AB$2, 0))), INDEX($A183:$AB183, MATCH(داشبرد!$D$5, $A$2:$AB$2, 0)), NA())</f>
        <v>48</v>
      </c>
    </row>
    <row r="184" spans="1:30" x14ac:dyDescent="0.3">
      <c r="A184" s="34"/>
      <c r="B184" s="30"/>
      <c r="C184" s="30"/>
      <c r="D184" s="30"/>
      <c r="E184" s="30"/>
      <c r="F184" s="30"/>
      <c r="G184" s="35">
        <v>48</v>
      </c>
      <c r="H184" s="34"/>
      <c r="I184" s="30"/>
      <c r="J184" s="30"/>
      <c r="K184" s="30"/>
      <c r="L184" s="30"/>
      <c r="M184" s="30"/>
      <c r="N184" s="38">
        <v>45</v>
      </c>
      <c r="O184" s="34"/>
      <c r="P184" s="30"/>
      <c r="Q184" s="30"/>
      <c r="R184" s="30"/>
      <c r="S184" s="30"/>
      <c r="T184" s="30"/>
      <c r="U184" s="38"/>
      <c r="V184" s="34"/>
      <c r="W184" s="30"/>
      <c r="X184" s="30"/>
      <c r="Y184" s="30"/>
      <c r="Z184" s="30"/>
      <c r="AA184" s="30"/>
      <c r="AB184" s="35">
        <v>1</v>
      </c>
      <c r="AD184" s="27">
        <f>IF(ISNUMBER(INDEX($A184:$AB184, MATCH(داشبرد!$D$5, $A$2:$AB$2, 0))), INDEX($A184:$AB184, MATCH(داشبرد!$D$5, $A$2:$AB$2, 0)), NA())</f>
        <v>48</v>
      </c>
    </row>
    <row r="185" spans="1:30" x14ac:dyDescent="0.3">
      <c r="A185" s="34"/>
      <c r="B185" s="30"/>
      <c r="C185" s="30"/>
      <c r="D185" s="30"/>
      <c r="E185" s="30"/>
      <c r="F185" s="30"/>
      <c r="G185" s="35">
        <v>43</v>
      </c>
      <c r="H185" s="34"/>
      <c r="I185" s="30"/>
      <c r="J185" s="30"/>
      <c r="K185" s="30"/>
      <c r="L185" s="30"/>
      <c r="M185" s="30"/>
      <c r="N185" s="38">
        <v>3</v>
      </c>
      <c r="O185" s="34"/>
      <c r="P185" s="30"/>
      <c r="Q185" s="30"/>
      <c r="R185" s="30"/>
      <c r="S185" s="30"/>
      <c r="T185" s="30"/>
      <c r="U185" s="38"/>
      <c r="V185" s="34"/>
      <c r="W185" s="30"/>
      <c r="X185" s="30"/>
      <c r="Y185" s="30"/>
      <c r="Z185" s="30"/>
      <c r="AA185" s="30"/>
      <c r="AB185" s="35">
        <v>4</v>
      </c>
      <c r="AD185" s="27">
        <f>IF(ISNUMBER(INDEX($A185:$AB185, MATCH(داشبرد!$D$5, $A$2:$AB$2, 0))), INDEX($A185:$AB185, MATCH(داشبرد!$D$5, $A$2:$AB$2, 0)), NA())</f>
        <v>43</v>
      </c>
    </row>
    <row r="186" spans="1:30" x14ac:dyDescent="0.3">
      <c r="A186" s="34"/>
      <c r="B186" s="30"/>
      <c r="C186" s="30"/>
      <c r="D186" s="30"/>
      <c r="E186" s="30"/>
      <c r="F186" s="30"/>
      <c r="G186" s="35">
        <v>42</v>
      </c>
      <c r="H186" s="34"/>
      <c r="I186" s="30"/>
      <c r="J186" s="30"/>
      <c r="K186" s="30"/>
      <c r="L186" s="30"/>
      <c r="M186" s="30"/>
      <c r="N186" s="38">
        <v>3</v>
      </c>
      <c r="O186" s="34"/>
      <c r="P186" s="30"/>
      <c r="Q186" s="30"/>
      <c r="R186" s="30"/>
      <c r="S186" s="30"/>
      <c r="T186" s="30"/>
      <c r="U186" s="38"/>
      <c r="V186" s="34"/>
      <c r="W186" s="30"/>
      <c r="X186" s="30"/>
      <c r="Y186" s="30"/>
      <c r="Z186" s="30"/>
      <c r="AA186" s="30"/>
      <c r="AB186" s="35">
        <v>3</v>
      </c>
      <c r="AD186" s="27">
        <f>IF(ISNUMBER(INDEX($A186:$AB186, MATCH(داشبرد!$D$5, $A$2:$AB$2, 0))), INDEX($A186:$AB186, MATCH(داشبرد!$D$5, $A$2:$AB$2, 0)), NA())</f>
        <v>42</v>
      </c>
    </row>
    <row r="187" spans="1:30" x14ac:dyDescent="0.3">
      <c r="A187" s="34"/>
      <c r="B187" s="30"/>
      <c r="C187" s="30"/>
      <c r="D187" s="30"/>
      <c r="E187" s="30"/>
      <c r="F187" s="30"/>
      <c r="G187" s="35">
        <v>42</v>
      </c>
      <c r="H187" s="34"/>
      <c r="I187" s="30"/>
      <c r="J187" s="30"/>
      <c r="K187" s="30"/>
      <c r="L187" s="30"/>
      <c r="M187" s="30"/>
      <c r="N187" s="38">
        <v>3</v>
      </c>
      <c r="O187" s="34"/>
      <c r="P187" s="30"/>
      <c r="Q187" s="30"/>
      <c r="R187" s="30"/>
      <c r="S187" s="30"/>
      <c r="T187" s="30"/>
      <c r="U187" s="38"/>
      <c r="V187" s="34"/>
      <c r="W187" s="30"/>
      <c r="X187" s="30"/>
      <c r="Y187" s="30"/>
      <c r="Z187" s="30"/>
      <c r="AA187" s="30"/>
      <c r="AB187" s="35">
        <v>3</v>
      </c>
      <c r="AD187" s="27">
        <f>IF(ISNUMBER(INDEX($A187:$AB187, MATCH(داشبرد!$D$5, $A$2:$AB$2, 0))), INDEX($A187:$AB187, MATCH(داشبرد!$D$5, $A$2:$AB$2, 0)), NA())</f>
        <v>42</v>
      </c>
    </row>
    <row r="188" spans="1:30" x14ac:dyDescent="0.3">
      <c r="A188" s="34"/>
      <c r="B188" s="30"/>
      <c r="C188" s="30"/>
      <c r="D188" s="30"/>
      <c r="E188" s="30"/>
      <c r="F188" s="30"/>
      <c r="G188" s="35">
        <v>42</v>
      </c>
      <c r="H188" s="34"/>
      <c r="I188" s="30"/>
      <c r="J188" s="30"/>
      <c r="K188" s="30"/>
      <c r="L188" s="30"/>
      <c r="M188" s="30"/>
      <c r="N188" s="38">
        <v>3</v>
      </c>
      <c r="O188" s="34"/>
      <c r="P188" s="30"/>
      <c r="Q188" s="30"/>
      <c r="R188" s="30"/>
      <c r="S188" s="30"/>
      <c r="T188" s="30"/>
      <c r="U188" s="38"/>
      <c r="V188" s="34"/>
      <c r="W188" s="30"/>
      <c r="X188" s="30"/>
      <c r="Y188" s="30"/>
      <c r="Z188" s="30"/>
      <c r="AA188" s="30"/>
      <c r="AB188" s="35">
        <v>3</v>
      </c>
      <c r="AD188" s="27">
        <f>IF(ISNUMBER(INDEX($A188:$AB188, MATCH(داشبرد!$D$5, $A$2:$AB$2, 0))), INDEX($A188:$AB188, MATCH(داشبرد!$D$5, $A$2:$AB$2, 0)), NA())</f>
        <v>42</v>
      </c>
    </row>
    <row r="189" spans="1:30" x14ac:dyDescent="0.3">
      <c r="A189" s="34"/>
      <c r="B189" s="30"/>
      <c r="C189" s="30"/>
      <c r="D189" s="30"/>
      <c r="E189" s="30"/>
      <c r="F189" s="30"/>
      <c r="G189" s="35">
        <v>7</v>
      </c>
      <c r="H189" s="34"/>
      <c r="I189" s="30"/>
      <c r="J189" s="30"/>
      <c r="K189" s="30"/>
      <c r="L189" s="30"/>
      <c r="M189" s="30"/>
      <c r="N189" s="38">
        <v>3</v>
      </c>
      <c r="O189" s="34"/>
      <c r="P189" s="30"/>
      <c r="Q189" s="30"/>
      <c r="R189" s="30"/>
      <c r="S189" s="30"/>
      <c r="T189" s="30"/>
      <c r="U189" s="38"/>
      <c r="V189" s="34"/>
      <c r="W189" s="30"/>
      <c r="X189" s="30"/>
      <c r="Y189" s="30"/>
      <c r="Z189" s="30"/>
      <c r="AA189" s="30"/>
      <c r="AB189" s="35">
        <v>2</v>
      </c>
      <c r="AD189" s="27">
        <f>IF(ISNUMBER(INDEX($A189:$AB189, MATCH(داشبرد!$D$5, $A$2:$AB$2, 0))), INDEX($A189:$AB189, MATCH(داشبرد!$D$5, $A$2:$AB$2, 0)), NA())</f>
        <v>7</v>
      </c>
    </row>
    <row r="190" spans="1:30" x14ac:dyDescent="0.3">
      <c r="A190" s="34"/>
      <c r="B190" s="30"/>
      <c r="C190" s="30"/>
      <c r="D190" s="30"/>
      <c r="E190" s="30"/>
      <c r="F190" s="30"/>
      <c r="G190" s="35">
        <v>7</v>
      </c>
      <c r="H190" s="34"/>
      <c r="I190" s="30"/>
      <c r="J190" s="30"/>
      <c r="K190" s="30"/>
      <c r="L190" s="30"/>
      <c r="M190" s="30"/>
      <c r="N190" s="38">
        <v>3</v>
      </c>
      <c r="O190" s="34"/>
      <c r="P190" s="30"/>
      <c r="Q190" s="30"/>
      <c r="R190" s="30"/>
      <c r="S190" s="30"/>
      <c r="T190" s="30"/>
      <c r="U190" s="38"/>
      <c r="V190" s="34"/>
      <c r="W190" s="30"/>
      <c r="X190" s="30"/>
      <c r="Y190" s="30"/>
      <c r="Z190" s="30"/>
      <c r="AA190" s="30"/>
      <c r="AB190" s="35">
        <v>3</v>
      </c>
      <c r="AD190" s="27">
        <f>IF(ISNUMBER(INDEX($A190:$AB190, MATCH(داشبرد!$D$5, $A$2:$AB$2, 0))), INDEX($A190:$AB190, MATCH(داشبرد!$D$5, $A$2:$AB$2, 0)), NA())</f>
        <v>7</v>
      </c>
    </row>
    <row r="191" spans="1:30" x14ac:dyDescent="0.3">
      <c r="A191" s="34"/>
      <c r="B191" s="30"/>
      <c r="C191" s="30"/>
      <c r="D191" s="30"/>
      <c r="E191" s="30"/>
      <c r="F191" s="30"/>
      <c r="G191" s="35">
        <v>11</v>
      </c>
      <c r="H191" s="34"/>
      <c r="I191" s="30"/>
      <c r="J191" s="30"/>
      <c r="K191" s="30"/>
      <c r="L191" s="30"/>
      <c r="M191" s="30"/>
      <c r="N191" s="38">
        <v>6</v>
      </c>
      <c r="O191" s="34"/>
      <c r="P191" s="30"/>
      <c r="Q191" s="30"/>
      <c r="R191" s="30"/>
      <c r="S191" s="30"/>
      <c r="T191" s="30"/>
      <c r="U191" s="38"/>
      <c r="V191" s="34"/>
      <c r="W191" s="30"/>
      <c r="X191" s="30"/>
      <c r="Y191" s="30"/>
      <c r="Z191" s="30"/>
      <c r="AA191" s="30"/>
      <c r="AB191" s="35">
        <v>4</v>
      </c>
      <c r="AD191" s="27">
        <f>IF(ISNUMBER(INDEX($A191:$AB191, MATCH(داشبرد!$D$5, $A$2:$AB$2, 0))), INDEX($A191:$AB191, MATCH(داشبرد!$D$5, $A$2:$AB$2, 0)), NA())</f>
        <v>11</v>
      </c>
    </row>
    <row r="192" spans="1:30" x14ac:dyDescent="0.3">
      <c r="A192" s="34"/>
      <c r="B192" s="30"/>
      <c r="C192" s="30"/>
      <c r="D192" s="30"/>
      <c r="E192" s="30"/>
      <c r="F192" s="30"/>
      <c r="G192" s="35">
        <v>10</v>
      </c>
      <c r="H192" s="34"/>
      <c r="I192" s="30"/>
      <c r="J192" s="30"/>
      <c r="K192" s="30"/>
      <c r="L192" s="30"/>
      <c r="M192" s="30"/>
      <c r="N192" s="38">
        <v>6</v>
      </c>
      <c r="O192" s="34"/>
      <c r="P192" s="30"/>
      <c r="Q192" s="30"/>
      <c r="R192" s="30"/>
      <c r="S192" s="30"/>
      <c r="T192" s="30"/>
      <c r="U192" s="38"/>
      <c r="V192" s="34"/>
      <c r="W192" s="30"/>
      <c r="X192" s="30"/>
      <c r="Y192" s="30"/>
      <c r="Z192" s="30"/>
      <c r="AA192" s="30"/>
      <c r="AB192" s="35">
        <v>3</v>
      </c>
      <c r="AD192" s="27">
        <f>IF(ISNUMBER(INDEX($A192:$AB192, MATCH(داشبرد!$D$5, $A$2:$AB$2, 0))), INDEX($A192:$AB192, MATCH(داشبرد!$D$5, $A$2:$AB$2, 0)), NA())</f>
        <v>10</v>
      </c>
    </row>
    <row r="193" spans="1:30" x14ac:dyDescent="0.3">
      <c r="A193" s="34"/>
      <c r="B193" s="30"/>
      <c r="C193" s="30"/>
      <c r="D193" s="30"/>
      <c r="E193" s="30"/>
      <c r="F193" s="30"/>
      <c r="G193" s="35">
        <v>10</v>
      </c>
      <c r="H193" s="34"/>
      <c r="I193" s="30"/>
      <c r="J193" s="30"/>
      <c r="K193" s="30"/>
      <c r="L193" s="30"/>
      <c r="M193" s="30"/>
      <c r="N193" s="38">
        <v>6</v>
      </c>
      <c r="O193" s="34"/>
      <c r="P193" s="30"/>
      <c r="Q193" s="30"/>
      <c r="R193" s="30"/>
      <c r="S193" s="30"/>
      <c r="T193" s="30"/>
      <c r="U193" s="38"/>
      <c r="V193" s="34"/>
      <c r="W193" s="30"/>
      <c r="X193" s="30"/>
      <c r="Y193" s="30"/>
      <c r="Z193" s="30"/>
      <c r="AA193" s="30"/>
      <c r="AB193" s="35">
        <v>3</v>
      </c>
      <c r="AD193" s="27">
        <f>IF(ISNUMBER(INDEX($A193:$AB193, MATCH(داشبرد!$D$5, $A$2:$AB$2, 0))), INDEX($A193:$AB193, MATCH(داشبرد!$D$5, $A$2:$AB$2, 0)), NA())</f>
        <v>10</v>
      </c>
    </row>
    <row r="194" spans="1:30" x14ac:dyDescent="0.3">
      <c r="A194" s="34"/>
      <c r="B194" s="30"/>
      <c r="C194" s="30"/>
      <c r="D194" s="30"/>
      <c r="E194" s="30"/>
      <c r="F194" s="30"/>
      <c r="G194" s="35">
        <v>9</v>
      </c>
      <c r="H194" s="34"/>
      <c r="I194" s="30"/>
      <c r="J194" s="30"/>
      <c r="K194" s="30"/>
      <c r="L194" s="30"/>
      <c r="M194" s="30"/>
      <c r="N194" s="38">
        <v>5</v>
      </c>
      <c r="O194" s="34"/>
      <c r="P194" s="30"/>
      <c r="Q194" s="30"/>
      <c r="R194" s="30"/>
      <c r="S194" s="30"/>
      <c r="T194" s="30"/>
      <c r="U194" s="38"/>
      <c r="V194" s="34"/>
      <c r="W194" s="30"/>
      <c r="X194" s="30"/>
      <c r="Y194" s="30"/>
      <c r="Z194" s="30"/>
      <c r="AA194" s="30"/>
      <c r="AB194" s="35">
        <v>3</v>
      </c>
      <c r="AD194" s="27">
        <f>IF(ISNUMBER(INDEX($A194:$AB194, MATCH(داشبرد!$D$5, $A$2:$AB$2, 0))), INDEX($A194:$AB194, MATCH(داشبرد!$D$5, $A$2:$AB$2, 0)), NA())</f>
        <v>9</v>
      </c>
    </row>
    <row r="195" spans="1:30" x14ac:dyDescent="0.3">
      <c r="A195" s="34"/>
      <c r="B195" s="30"/>
      <c r="C195" s="30"/>
      <c r="D195" s="30"/>
      <c r="E195" s="30"/>
      <c r="F195" s="30"/>
      <c r="G195" s="35">
        <v>10</v>
      </c>
      <c r="H195" s="34"/>
      <c r="I195" s="30"/>
      <c r="J195" s="30"/>
      <c r="K195" s="30"/>
      <c r="L195" s="30"/>
      <c r="M195" s="30"/>
      <c r="N195" s="38">
        <v>5</v>
      </c>
      <c r="O195" s="34"/>
      <c r="P195" s="30"/>
      <c r="Q195" s="30"/>
      <c r="R195" s="30"/>
      <c r="S195" s="30"/>
      <c r="T195" s="30"/>
      <c r="U195" s="38"/>
      <c r="V195" s="34"/>
      <c r="W195" s="30"/>
      <c r="X195" s="30"/>
      <c r="Y195" s="30"/>
      <c r="Z195" s="30"/>
      <c r="AA195" s="30"/>
      <c r="AB195" s="35">
        <v>4</v>
      </c>
      <c r="AD195" s="27">
        <f>IF(ISNUMBER(INDEX($A195:$AB195, MATCH(داشبرد!$D$5, $A$2:$AB$2, 0))), INDEX($A195:$AB195, MATCH(داشبرد!$D$5, $A$2:$AB$2, 0)), NA())</f>
        <v>10</v>
      </c>
    </row>
    <row r="196" spans="1:30" x14ac:dyDescent="0.3">
      <c r="A196" s="34"/>
      <c r="B196" s="30"/>
      <c r="C196" s="30"/>
      <c r="D196" s="30"/>
      <c r="E196" s="30"/>
      <c r="F196" s="30"/>
      <c r="G196" s="35">
        <v>10</v>
      </c>
      <c r="H196" s="34"/>
      <c r="I196" s="30"/>
      <c r="J196" s="30"/>
      <c r="K196" s="30"/>
      <c r="L196" s="30"/>
      <c r="M196" s="30"/>
      <c r="N196" s="38">
        <v>5</v>
      </c>
      <c r="O196" s="34"/>
      <c r="P196" s="30"/>
      <c r="Q196" s="30"/>
      <c r="R196" s="30"/>
      <c r="S196" s="30"/>
      <c r="T196" s="30"/>
      <c r="U196" s="38"/>
      <c r="V196" s="34"/>
      <c r="W196" s="30"/>
      <c r="X196" s="30"/>
      <c r="Y196" s="30"/>
      <c r="Z196" s="30"/>
      <c r="AA196" s="30"/>
      <c r="AB196" s="35">
        <v>4</v>
      </c>
      <c r="AD196" s="27">
        <f>IF(ISNUMBER(INDEX($A196:$AB196, MATCH(داشبرد!$D$5, $A$2:$AB$2, 0))), INDEX($A196:$AB196, MATCH(داشبرد!$D$5, $A$2:$AB$2, 0)), NA())</f>
        <v>10</v>
      </c>
    </row>
    <row r="197" spans="1:30" x14ac:dyDescent="0.3">
      <c r="A197" s="34"/>
      <c r="B197" s="30"/>
      <c r="C197" s="30"/>
      <c r="D197" s="30"/>
      <c r="E197" s="30"/>
      <c r="F197" s="30"/>
      <c r="G197" s="35">
        <v>11</v>
      </c>
      <c r="H197" s="34"/>
      <c r="I197" s="30"/>
      <c r="J197" s="30"/>
      <c r="K197" s="30"/>
      <c r="L197" s="30"/>
      <c r="M197" s="30"/>
      <c r="N197" s="38">
        <v>5</v>
      </c>
      <c r="O197" s="34"/>
      <c r="P197" s="30"/>
      <c r="Q197" s="30"/>
      <c r="R197" s="30"/>
      <c r="S197" s="30"/>
      <c r="T197" s="30"/>
      <c r="U197" s="38"/>
      <c r="V197" s="34"/>
      <c r="W197" s="30"/>
      <c r="X197" s="30"/>
      <c r="Y197" s="30"/>
      <c r="Z197" s="30"/>
      <c r="AA197" s="30"/>
      <c r="AB197" s="35">
        <v>4</v>
      </c>
      <c r="AD197" s="27">
        <f>IF(ISNUMBER(INDEX($A197:$AB197, MATCH(داشبرد!$D$5, $A$2:$AB$2, 0))), INDEX($A197:$AB197, MATCH(داشبرد!$D$5, $A$2:$AB$2, 0)), NA())</f>
        <v>11</v>
      </c>
    </row>
    <row r="198" spans="1:30" x14ac:dyDescent="0.3">
      <c r="A198" s="34"/>
      <c r="B198" s="30"/>
      <c r="C198" s="30"/>
      <c r="D198" s="30"/>
      <c r="E198" s="30"/>
      <c r="F198" s="30"/>
      <c r="G198" s="35">
        <v>10</v>
      </c>
      <c r="H198" s="34"/>
      <c r="I198" s="30"/>
      <c r="J198" s="30"/>
      <c r="K198" s="30"/>
      <c r="L198" s="30"/>
      <c r="M198" s="30"/>
      <c r="N198" s="38">
        <v>5</v>
      </c>
      <c r="O198" s="34"/>
      <c r="P198" s="30"/>
      <c r="Q198" s="30"/>
      <c r="R198" s="30"/>
      <c r="S198" s="30"/>
      <c r="T198" s="30"/>
      <c r="U198" s="38"/>
      <c r="V198" s="34"/>
      <c r="W198" s="30"/>
      <c r="X198" s="30"/>
      <c r="Y198" s="30"/>
      <c r="Z198" s="30"/>
      <c r="AA198" s="30"/>
      <c r="AB198" s="35">
        <v>3</v>
      </c>
      <c r="AD198" s="27">
        <f>IF(ISNUMBER(INDEX($A198:$AB198, MATCH(داشبرد!$D$5, $A$2:$AB$2, 0))), INDEX($A198:$AB198, MATCH(داشبرد!$D$5, $A$2:$AB$2, 0)), NA())</f>
        <v>10</v>
      </c>
    </row>
    <row r="199" spans="1:30" x14ac:dyDescent="0.3">
      <c r="A199" s="34"/>
      <c r="B199" s="30"/>
      <c r="C199" s="30"/>
      <c r="D199" s="30"/>
      <c r="E199" s="30"/>
      <c r="F199" s="30"/>
      <c r="G199" s="35">
        <v>10</v>
      </c>
      <c r="H199" s="34"/>
      <c r="I199" s="30"/>
      <c r="J199" s="30"/>
      <c r="K199" s="30"/>
      <c r="L199" s="30"/>
      <c r="M199" s="30"/>
      <c r="N199" s="38">
        <v>5</v>
      </c>
      <c r="O199" s="34"/>
      <c r="P199" s="30"/>
      <c r="Q199" s="30"/>
      <c r="R199" s="30"/>
      <c r="S199" s="30"/>
      <c r="T199" s="30"/>
      <c r="U199" s="38"/>
      <c r="V199" s="34"/>
      <c r="W199" s="30"/>
      <c r="X199" s="30"/>
      <c r="Y199" s="30"/>
      <c r="Z199" s="30"/>
      <c r="AA199" s="30"/>
      <c r="AB199" s="35">
        <v>3</v>
      </c>
      <c r="AD199" s="27">
        <f>IF(ISNUMBER(INDEX($A199:$AB199, MATCH(داشبرد!$D$5, $A$2:$AB$2, 0))), INDEX($A199:$AB199, MATCH(داشبرد!$D$5, $A$2:$AB$2, 0)), NA())</f>
        <v>10</v>
      </c>
    </row>
    <row r="200" spans="1:30" x14ac:dyDescent="0.3">
      <c r="A200" s="34"/>
      <c r="B200" s="30"/>
      <c r="C200" s="30"/>
      <c r="D200" s="30"/>
      <c r="E200" s="30"/>
      <c r="F200" s="30"/>
      <c r="G200" s="35">
        <v>7</v>
      </c>
      <c r="H200" s="34"/>
      <c r="I200" s="30"/>
      <c r="J200" s="30"/>
      <c r="K200" s="30"/>
      <c r="L200" s="30"/>
      <c r="M200" s="30"/>
      <c r="N200" s="38">
        <v>1</v>
      </c>
      <c r="O200" s="34"/>
      <c r="P200" s="30"/>
      <c r="Q200" s="30"/>
      <c r="R200" s="30"/>
      <c r="S200" s="30"/>
      <c r="T200" s="30"/>
      <c r="U200" s="38"/>
      <c r="V200" s="34"/>
      <c r="W200" s="30"/>
      <c r="X200" s="30"/>
      <c r="Y200" s="30"/>
      <c r="Z200" s="30"/>
      <c r="AA200" s="30"/>
      <c r="AB200" s="35">
        <v>5</v>
      </c>
      <c r="AD200" s="27">
        <f>IF(ISNUMBER(INDEX($A200:$AB200, MATCH(داشبرد!$D$5, $A$2:$AB$2, 0))), INDEX($A200:$AB200, MATCH(داشبرد!$D$5, $A$2:$AB$2, 0)), NA())</f>
        <v>7</v>
      </c>
    </row>
    <row r="201" spans="1:30" x14ac:dyDescent="0.3">
      <c r="A201" s="34"/>
      <c r="B201" s="30"/>
      <c r="C201" s="30"/>
      <c r="D201" s="30"/>
      <c r="E201" s="30"/>
      <c r="F201" s="30"/>
      <c r="G201" s="35">
        <v>6</v>
      </c>
      <c r="H201" s="34"/>
      <c r="I201" s="30"/>
      <c r="J201" s="30"/>
      <c r="K201" s="30"/>
      <c r="L201" s="30"/>
      <c r="M201" s="30"/>
      <c r="N201" s="38">
        <v>1</v>
      </c>
      <c r="O201" s="34"/>
      <c r="P201" s="30"/>
      <c r="Q201" s="30"/>
      <c r="R201" s="30"/>
      <c r="S201" s="30"/>
      <c r="T201" s="30"/>
      <c r="U201" s="38"/>
      <c r="V201" s="34"/>
      <c r="W201" s="30"/>
      <c r="X201" s="30"/>
      <c r="Y201" s="30"/>
      <c r="Z201" s="30"/>
      <c r="AA201" s="30"/>
      <c r="AB201" s="35">
        <v>4</v>
      </c>
      <c r="AD201" s="27">
        <f>IF(ISNUMBER(INDEX($A201:$AB201, MATCH(داشبرد!$D$5, $A$2:$AB$2, 0))), INDEX($A201:$AB201, MATCH(داشبرد!$D$5, $A$2:$AB$2, 0)), NA())</f>
        <v>6</v>
      </c>
    </row>
    <row r="202" spans="1:30" x14ac:dyDescent="0.3">
      <c r="A202" s="34"/>
      <c r="B202" s="30"/>
      <c r="C202" s="30"/>
      <c r="D202" s="30"/>
      <c r="E202" s="30"/>
      <c r="F202" s="30"/>
      <c r="G202" s="35">
        <v>6</v>
      </c>
      <c r="H202" s="34"/>
      <c r="I202" s="30"/>
      <c r="J202" s="30"/>
      <c r="K202" s="30"/>
      <c r="L202" s="30"/>
      <c r="M202" s="30"/>
      <c r="N202" s="38">
        <v>1</v>
      </c>
      <c r="O202" s="34"/>
      <c r="P202" s="30"/>
      <c r="Q202" s="30"/>
      <c r="R202" s="30"/>
      <c r="S202" s="30"/>
      <c r="T202" s="30"/>
      <c r="U202" s="38"/>
      <c r="V202" s="34"/>
      <c r="W202" s="30"/>
      <c r="X202" s="30"/>
      <c r="Y202" s="30"/>
      <c r="Z202" s="30"/>
      <c r="AA202" s="30"/>
      <c r="AB202" s="35">
        <v>4</v>
      </c>
      <c r="AD202" s="27">
        <f>IF(ISNUMBER(INDEX($A202:$AB202, MATCH(داشبرد!$D$5, $A$2:$AB$2, 0))), INDEX($A202:$AB202, MATCH(داشبرد!$D$5, $A$2:$AB$2, 0)), NA())</f>
        <v>6</v>
      </c>
    </row>
    <row r="203" spans="1:30" x14ac:dyDescent="0.3">
      <c r="A203" s="34"/>
      <c r="B203" s="30"/>
      <c r="C203" s="30"/>
      <c r="D203" s="30"/>
      <c r="E203" s="30"/>
      <c r="F203" s="30"/>
      <c r="G203" s="35">
        <v>7</v>
      </c>
      <c r="H203" s="34"/>
      <c r="I203" s="30"/>
      <c r="J203" s="30"/>
      <c r="K203" s="30"/>
      <c r="L203" s="30"/>
      <c r="M203" s="30"/>
      <c r="N203" s="38">
        <v>1</v>
      </c>
      <c r="O203" s="34"/>
      <c r="P203" s="30"/>
      <c r="Q203" s="30"/>
      <c r="R203" s="30"/>
      <c r="S203" s="30"/>
      <c r="T203" s="30"/>
      <c r="U203" s="38"/>
      <c r="V203" s="34"/>
      <c r="W203" s="30"/>
      <c r="X203" s="30"/>
      <c r="Y203" s="30"/>
      <c r="Z203" s="30"/>
      <c r="AA203" s="30"/>
      <c r="AB203" s="35">
        <v>5</v>
      </c>
      <c r="AD203" s="27">
        <f>IF(ISNUMBER(INDEX($A203:$AB203, MATCH(داشبرد!$D$5, $A$2:$AB$2, 0))), INDEX($A203:$AB203, MATCH(داشبرد!$D$5, $A$2:$AB$2, 0)), NA())</f>
        <v>7</v>
      </c>
    </row>
    <row r="204" spans="1:30" x14ac:dyDescent="0.3">
      <c r="A204" s="34"/>
      <c r="B204" s="30"/>
      <c r="C204" s="30"/>
      <c r="D204" s="30"/>
      <c r="E204" s="30"/>
      <c r="F204" s="30"/>
      <c r="G204" s="35">
        <v>5</v>
      </c>
      <c r="H204" s="34"/>
      <c r="I204" s="30"/>
      <c r="J204" s="30"/>
      <c r="K204" s="30"/>
      <c r="L204" s="30"/>
      <c r="M204" s="30"/>
      <c r="N204" s="38">
        <v>1</v>
      </c>
      <c r="O204" s="34"/>
      <c r="P204" s="30"/>
      <c r="Q204" s="30"/>
      <c r="R204" s="30"/>
      <c r="S204" s="30"/>
      <c r="T204" s="30"/>
      <c r="U204" s="38"/>
      <c r="V204" s="34"/>
      <c r="W204" s="30"/>
      <c r="X204" s="30"/>
      <c r="Y204" s="30"/>
      <c r="Z204" s="30"/>
      <c r="AA204" s="30"/>
      <c r="AB204" s="35">
        <v>3</v>
      </c>
      <c r="AD204" s="27">
        <f>IF(ISNUMBER(INDEX($A204:$AB204, MATCH(داشبرد!$D$5, $A$2:$AB$2, 0))), INDEX($A204:$AB204, MATCH(داشبرد!$D$5, $A$2:$AB$2, 0)), NA())</f>
        <v>5</v>
      </c>
    </row>
    <row r="205" spans="1:30" x14ac:dyDescent="0.3">
      <c r="A205" s="34"/>
      <c r="B205" s="30"/>
      <c r="C205" s="30"/>
      <c r="D205" s="30"/>
      <c r="E205" s="30"/>
      <c r="F205" s="30"/>
      <c r="G205" s="35">
        <v>6</v>
      </c>
      <c r="H205" s="34"/>
      <c r="I205" s="30"/>
      <c r="J205" s="30"/>
      <c r="K205" s="30"/>
      <c r="L205" s="30"/>
      <c r="M205" s="30"/>
      <c r="N205" s="38">
        <v>1</v>
      </c>
      <c r="O205" s="34"/>
      <c r="P205" s="30"/>
      <c r="Q205" s="30"/>
      <c r="R205" s="30"/>
      <c r="S205" s="30"/>
      <c r="T205" s="30"/>
      <c r="U205" s="38"/>
      <c r="V205" s="34"/>
      <c r="W205" s="30"/>
      <c r="X205" s="30"/>
      <c r="Y205" s="30"/>
      <c r="Z205" s="30"/>
      <c r="AA205" s="30"/>
      <c r="AB205" s="35">
        <v>3</v>
      </c>
      <c r="AD205" s="27">
        <f>IF(ISNUMBER(INDEX($A205:$AB205, MATCH(داشبرد!$D$5, $A$2:$AB$2, 0))), INDEX($A205:$AB205, MATCH(داشبرد!$D$5, $A$2:$AB$2, 0)), NA())</f>
        <v>6</v>
      </c>
    </row>
    <row r="206" spans="1:30" x14ac:dyDescent="0.3">
      <c r="A206" s="34"/>
      <c r="B206" s="30"/>
      <c r="C206" s="30"/>
      <c r="D206" s="30"/>
      <c r="E206" s="30"/>
      <c r="F206" s="30"/>
      <c r="G206" s="35">
        <v>6</v>
      </c>
      <c r="H206" s="34"/>
      <c r="I206" s="30"/>
      <c r="J206" s="30"/>
      <c r="K206" s="30"/>
      <c r="L206" s="30"/>
      <c r="M206" s="30"/>
      <c r="N206" s="38">
        <v>1</v>
      </c>
      <c r="O206" s="34"/>
      <c r="P206" s="30"/>
      <c r="Q206" s="30"/>
      <c r="R206" s="30"/>
      <c r="S206" s="30"/>
      <c r="T206" s="30"/>
      <c r="U206" s="38"/>
      <c r="V206" s="34"/>
      <c r="W206" s="30"/>
      <c r="X206" s="30"/>
      <c r="Y206" s="30"/>
      <c r="Z206" s="30"/>
      <c r="AA206" s="30"/>
      <c r="AB206" s="35">
        <v>3</v>
      </c>
      <c r="AD206" s="27">
        <f>IF(ISNUMBER(INDEX($A206:$AB206, MATCH(داشبرد!$D$5, $A$2:$AB$2, 0))), INDEX($A206:$AB206, MATCH(داشبرد!$D$5, $A$2:$AB$2, 0)), NA())</f>
        <v>6</v>
      </c>
    </row>
    <row r="207" spans="1:30" x14ac:dyDescent="0.3">
      <c r="A207" s="34"/>
      <c r="B207" s="30"/>
      <c r="C207" s="30"/>
      <c r="D207" s="30"/>
      <c r="E207" s="30"/>
      <c r="F207" s="30"/>
      <c r="G207" s="35">
        <v>7</v>
      </c>
      <c r="H207" s="34"/>
      <c r="I207" s="30"/>
      <c r="J207" s="30"/>
      <c r="K207" s="30"/>
      <c r="L207" s="30"/>
      <c r="M207" s="30"/>
      <c r="N207" s="38">
        <v>1</v>
      </c>
      <c r="O207" s="34"/>
      <c r="P207" s="30"/>
      <c r="Q207" s="30"/>
      <c r="R207" s="30"/>
      <c r="S207" s="30"/>
      <c r="T207" s="30"/>
      <c r="U207" s="38"/>
      <c r="V207" s="34"/>
      <c r="W207" s="30"/>
      <c r="X207" s="30"/>
      <c r="Y207" s="30"/>
      <c r="Z207" s="30"/>
      <c r="AA207" s="30"/>
      <c r="AB207" s="35">
        <v>4</v>
      </c>
      <c r="AD207" s="27">
        <f>IF(ISNUMBER(INDEX($A207:$AB207, MATCH(داشبرد!$D$5, $A$2:$AB$2, 0))), INDEX($A207:$AB207, MATCH(داشبرد!$D$5, $A$2:$AB$2, 0)), NA())</f>
        <v>7</v>
      </c>
    </row>
    <row r="208" spans="1:30" x14ac:dyDescent="0.3">
      <c r="A208" s="34"/>
      <c r="B208" s="30"/>
      <c r="C208" s="30"/>
      <c r="D208" s="30"/>
      <c r="E208" s="30"/>
      <c r="F208" s="30"/>
      <c r="G208" s="35">
        <v>29</v>
      </c>
      <c r="H208" s="34"/>
      <c r="I208" s="30"/>
      <c r="J208" s="30"/>
      <c r="K208" s="30"/>
      <c r="L208" s="30"/>
      <c r="M208" s="30"/>
      <c r="N208" s="38">
        <v>24</v>
      </c>
      <c r="O208" s="34"/>
      <c r="P208" s="30"/>
      <c r="Q208" s="30"/>
      <c r="R208" s="30"/>
      <c r="S208" s="30"/>
      <c r="T208" s="30"/>
      <c r="U208" s="38"/>
      <c r="V208" s="34"/>
      <c r="W208" s="30"/>
      <c r="X208" s="30"/>
      <c r="Y208" s="30"/>
      <c r="Z208" s="30"/>
      <c r="AA208" s="30"/>
      <c r="AB208" s="35">
        <v>4</v>
      </c>
      <c r="AD208" s="27">
        <f>IF(ISNUMBER(INDEX($A208:$AB208, MATCH(داشبرد!$D$5, $A$2:$AB$2, 0))), INDEX($A208:$AB208, MATCH(داشبرد!$D$5, $A$2:$AB$2, 0)), NA())</f>
        <v>29</v>
      </c>
    </row>
    <row r="209" spans="1:30" x14ac:dyDescent="0.3">
      <c r="A209" s="34"/>
      <c r="B209" s="30"/>
      <c r="C209" s="30"/>
      <c r="D209" s="30"/>
      <c r="E209" s="30"/>
      <c r="F209" s="30"/>
      <c r="G209" s="35">
        <v>27</v>
      </c>
      <c r="H209" s="34"/>
      <c r="I209" s="30"/>
      <c r="J209" s="30"/>
      <c r="K209" s="30"/>
      <c r="L209" s="30"/>
      <c r="M209" s="30"/>
      <c r="N209" s="38">
        <v>24</v>
      </c>
      <c r="O209" s="34"/>
      <c r="P209" s="30"/>
      <c r="Q209" s="30"/>
      <c r="R209" s="30"/>
      <c r="S209" s="30"/>
      <c r="T209" s="30"/>
      <c r="U209" s="38"/>
      <c r="V209" s="34"/>
      <c r="W209" s="30"/>
      <c r="X209" s="30"/>
      <c r="Y209" s="30"/>
      <c r="Z209" s="30"/>
      <c r="AA209" s="30"/>
      <c r="AB209" s="35">
        <v>2</v>
      </c>
      <c r="AD209" s="27">
        <f>IF(ISNUMBER(INDEX($A209:$AB209, MATCH(داشبرد!$D$5, $A$2:$AB$2, 0))), INDEX($A209:$AB209, MATCH(داشبرد!$D$5, $A$2:$AB$2, 0)), NA())</f>
        <v>27</v>
      </c>
    </row>
    <row r="210" spans="1:30" x14ac:dyDescent="0.3">
      <c r="A210" s="34"/>
      <c r="B210" s="30"/>
      <c r="C210" s="30"/>
      <c r="D210" s="30"/>
      <c r="E210" s="30"/>
      <c r="F210" s="30"/>
      <c r="G210" s="35">
        <v>30</v>
      </c>
      <c r="H210" s="34"/>
      <c r="I210" s="30"/>
      <c r="J210" s="30"/>
      <c r="K210" s="30"/>
      <c r="L210" s="30"/>
      <c r="M210" s="30"/>
      <c r="N210" s="38">
        <v>24</v>
      </c>
      <c r="O210" s="34"/>
      <c r="P210" s="30"/>
      <c r="Q210" s="30"/>
      <c r="R210" s="30"/>
      <c r="S210" s="30"/>
      <c r="T210" s="30"/>
      <c r="U210" s="38"/>
      <c r="V210" s="34"/>
      <c r="W210" s="30"/>
      <c r="X210" s="30"/>
      <c r="Y210" s="30"/>
      <c r="Z210" s="30"/>
      <c r="AA210" s="30"/>
      <c r="AB210" s="35">
        <v>5</v>
      </c>
      <c r="AD210" s="27">
        <f>IF(ISNUMBER(INDEX($A210:$AB210, MATCH(داشبرد!$D$5, $A$2:$AB$2, 0))), INDEX($A210:$AB210, MATCH(داشبرد!$D$5, $A$2:$AB$2, 0)), NA())</f>
        <v>30</v>
      </c>
    </row>
    <row r="211" spans="1:30" x14ac:dyDescent="0.3">
      <c r="A211" s="34"/>
      <c r="B211" s="30"/>
      <c r="C211" s="30"/>
      <c r="D211" s="30"/>
      <c r="E211" s="30"/>
      <c r="F211" s="30"/>
      <c r="G211" s="35">
        <v>15</v>
      </c>
      <c r="H211" s="34"/>
      <c r="I211" s="30"/>
      <c r="J211" s="30"/>
      <c r="K211" s="30"/>
      <c r="L211" s="30"/>
      <c r="M211" s="30"/>
      <c r="N211" s="38">
        <v>11</v>
      </c>
      <c r="O211" s="34"/>
      <c r="P211" s="30"/>
      <c r="Q211" s="30"/>
      <c r="R211" s="30"/>
      <c r="S211" s="30"/>
      <c r="T211" s="30"/>
      <c r="U211" s="38"/>
      <c r="V211" s="34"/>
      <c r="W211" s="30"/>
      <c r="X211" s="30"/>
      <c r="Y211" s="30"/>
      <c r="Z211" s="30"/>
      <c r="AA211" s="30"/>
      <c r="AB211" s="35">
        <v>3</v>
      </c>
      <c r="AD211" s="27">
        <f>IF(ISNUMBER(INDEX($A211:$AB211, MATCH(داشبرد!$D$5, $A$2:$AB$2, 0))), INDEX($A211:$AB211, MATCH(داشبرد!$D$5, $A$2:$AB$2, 0)), NA())</f>
        <v>15</v>
      </c>
    </row>
    <row r="212" spans="1:30" x14ac:dyDescent="0.3">
      <c r="A212" s="34"/>
      <c r="B212" s="30"/>
      <c r="C212" s="30"/>
      <c r="D212" s="30"/>
      <c r="E212" s="30"/>
      <c r="F212" s="30"/>
      <c r="G212" s="35">
        <v>16</v>
      </c>
      <c r="H212" s="34"/>
      <c r="I212" s="30"/>
      <c r="J212" s="30"/>
      <c r="K212" s="30"/>
      <c r="L212" s="30"/>
      <c r="M212" s="30"/>
      <c r="N212" s="38">
        <v>11</v>
      </c>
      <c r="O212" s="34"/>
      <c r="P212" s="30"/>
      <c r="Q212" s="30"/>
      <c r="R212" s="30"/>
      <c r="S212" s="30"/>
      <c r="T212" s="30"/>
      <c r="U212" s="38"/>
      <c r="V212" s="34"/>
      <c r="W212" s="30"/>
      <c r="X212" s="30"/>
      <c r="Y212" s="30"/>
      <c r="Z212" s="30"/>
      <c r="AA212" s="30"/>
      <c r="AB212" s="35">
        <v>4</v>
      </c>
      <c r="AD212" s="27">
        <f>IF(ISNUMBER(INDEX($A212:$AB212, MATCH(داشبرد!$D$5, $A$2:$AB$2, 0))), INDEX($A212:$AB212, MATCH(داشبرد!$D$5, $A$2:$AB$2, 0)), NA())</f>
        <v>16</v>
      </c>
    </row>
    <row r="213" spans="1:30" x14ac:dyDescent="0.3">
      <c r="A213" s="34"/>
      <c r="B213" s="30"/>
      <c r="C213" s="30"/>
      <c r="D213" s="30"/>
      <c r="E213" s="30"/>
      <c r="F213" s="30"/>
      <c r="G213" s="35">
        <v>15</v>
      </c>
      <c r="H213" s="34"/>
      <c r="I213" s="30"/>
      <c r="J213" s="30"/>
      <c r="K213" s="30"/>
      <c r="L213" s="30"/>
      <c r="M213" s="30"/>
      <c r="N213" s="38">
        <v>11</v>
      </c>
      <c r="O213" s="34"/>
      <c r="P213" s="30"/>
      <c r="Q213" s="30"/>
      <c r="R213" s="30"/>
      <c r="S213" s="30"/>
      <c r="T213" s="30"/>
      <c r="U213" s="38"/>
      <c r="V213" s="34"/>
      <c r="W213" s="30"/>
      <c r="X213" s="30"/>
      <c r="Y213" s="30"/>
      <c r="Z213" s="30"/>
      <c r="AA213" s="30"/>
      <c r="AB213" s="35">
        <v>3</v>
      </c>
      <c r="AD213" s="27">
        <f>IF(ISNUMBER(INDEX($A213:$AB213, MATCH(داشبرد!$D$5, $A$2:$AB$2, 0))), INDEX($A213:$AB213, MATCH(داشبرد!$D$5, $A$2:$AB$2, 0)), NA())</f>
        <v>15</v>
      </c>
    </row>
    <row r="214" spans="1:30" x14ac:dyDescent="0.3">
      <c r="A214" s="34"/>
      <c r="B214" s="30"/>
      <c r="C214" s="30"/>
      <c r="D214" s="30"/>
      <c r="E214" s="30"/>
      <c r="F214" s="30"/>
      <c r="G214" s="35">
        <v>8</v>
      </c>
      <c r="H214" s="34"/>
      <c r="I214" s="30"/>
      <c r="J214" s="30"/>
      <c r="K214" s="30"/>
      <c r="L214" s="30"/>
      <c r="M214" s="30"/>
      <c r="N214" s="38">
        <v>3</v>
      </c>
      <c r="O214" s="34"/>
      <c r="P214" s="30"/>
      <c r="Q214" s="30"/>
      <c r="R214" s="30"/>
      <c r="S214" s="30"/>
      <c r="T214" s="30"/>
      <c r="U214" s="38"/>
      <c r="V214" s="34"/>
      <c r="W214" s="30"/>
      <c r="X214" s="30"/>
      <c r="Y214" s="30"/>
      <c r="Z214" s="30"/>
      <c r="AA214" s="30"/>
      <c r="AB214" s="35">
        <v>4</v>
      </c>
      <c r="AD214" s="27">
        <f>IF(ISNUMBER(INDEX($A214:$AB214, MATCH(داشبرد!$D$5, $A$2:$AB$2, 0))), INDEX($A214:$AB214, MATCH(داشبرد!$D$5, $A$2:$AB$2, 0)), NA())</f>
        <v>8</v>
      </c>
    </row>
    <row r="215" spans="1:30" x14ac:dyDescent="0.3">
      <c r="A215" s="34"/>
      <c r="B215" s="30"/>
      <c r="C215" s="30"/>
      <c r="D215" s="30"/>
      <c r="E215" s="30"/>
      <c r="F215" s="30"/>
      <c r="G215" s="35">
        <v>9</v>
      </c>
      <c r="H215" s="34"/>
      <c r="I215" s="30"/>
      <c r="J215" s="30"/>
      <c r="K215" s="30"/>
      <c r="L215" s="30"/>
      <c r="M215" s="30"/>
      <c r="N215" s="38">
        <v>3</v>
      </c>
      <c r="O215" s="34"/>
      <c r="P215" s="30"/>
      <c r="Q215" s="30"/>
      <c r="R215" s="30"/>
      <c r="S215" s="30"/>
      <c r="T215" s="30"/>
      <c r="U215" s="38"/>
      <c r="V215" s="34"/>
      <c r="W215" s="30"/>
      <c r="X215" s="30"/>
      <c r="Y215" s="30"/>
      <c r="Z215" s="30"/>
      <c r="AA215" s="30"/>
      <c r="AB215" s="35">
        <v>5</v>
      </c>
      <c r="AD215" s="27">
        <f>IF(ISNUMBER(INDEX($A215:$AB215, MATCH(داشبرد!$D$5, $A$2:$AB$2, 0))), INDEX($A215:$AB215, MATCH(داشبرد!$D$5, $A$2:$AB$2, 0)), NA())</f>
        <v>9</v>
      </c>
    </row>
    <row r="216" spans="1:30" x14ac:dyDescent="0.3">
      <c r="A216" s="34"/>
      <c r="B216" s="30"/>
      <c r="C216" s="30"/>
      <c r="D216" s="30"/>
      <c r="E216" s="30"/>
      <c r="F216" s="30"/>
      <c r="G216" s="35">
        <v>7</v>
      </c>
      <c r="H216" s="34"/>
      <c r="I216" s="30"/>
      <c r="J216" s="30"/>
      <c r="K216" s="30"/>
      <c r="L216" s="30"/>
      <c r="M216" s="30"/>
      <c r="N216" s="38">
        <v>3</v>
      </c>
      <c r="O216" s="34"/>
      <c r="P216" s="30"/>
      <c r="Q216" s="30"/>
      <c r="R216" s="30"/>
      <c r="S216" s="30"/>
      <c r="T216" s="30"/>
      <c r="U216" s="38"/>
      <c r="V216" s="34"/>
      <c r="W216" s="30"/>
      <c r="X216" s="30"/>
      <c r="Y216" s="30"/>
      <c r="Z216" s="30"/>
      <c r="AA216" s="30"/>
      <c r="AB216" s="35">
        <v>3</v>
      </c>
      <c r="AD216" s="27">
        <f>IF(ISNUMBER(INDEX($A216:$AB216, MATCH(داشبرد!$D$5, $A$2:$AB$2, 0))), INDEX($A216:$AB216, MATCH(داشبرد!$D$5, $A$2:$AB$2, 0)), NA())</f>
        <v>7</v>
      </c>
    </row>
    <row r="217" spans="1:30" x14ac:dyDescent="0.3">
      <c r="A217" s="34"/>
      <c r="B217" s="30"/>
      <c r="C217" s="30"/>
      <c r="D217" s="30"/>
      <c r="E217" s="30"/>
      <c r="F217" s="30"/>
      <c r="G217" s="35">
        <v>7</v>
      </c>
      <c r="H217" s="34"/>
      <c r="I217" s="30"/>
      <c r="J217" s="30"/>
      <c r="K217" s="30"/>
      <c r="L217" s="30"/>
      <c r="M217" s="30"/>
      <c r="N217" s="38">
        <v>3</v>
      </c>
      <c r="O217" s="34"/>
      <c r="P217" s="30"/>
      <c r="Q217" s="30"/>
      <c r="R217" s="30"/>
      <c r="S217" s="30"/>
      <c r="T217" s="30"/>
      <c r="U217" s="38"/>
      <c r="V217" s="34"/>
      <c r="W217" s="30"/>
      <c r="X217" s="30"/>
      <c r="Y217" s="30"/>
      <c r="Z217" s="30"/>
      <c r="AA217" s="30"/>
      <c r="AB217" s="35">
        <v>3</v>
      </c>
      <c r="AD217" s="27">
        <f>IF(ISNUMBER(INDEX($A217:$AB217, MATCH(داشبرد!$D$5, $A$2:$AB$2, 0))), INDEX($A217:$AB217, MATCH(داشبرد!$D$5, $A$2:$AB$2, 0)), NA())</f>
        <v>7</v>
      </c>
    </row>
    <row r="218" spans="1:30" x14ac:dyDescent="0.3">
      <c r="A218" s="34"/>
      <c r="B218" s="30"/>
      <c r="C218" s="30"/>
      <c r="D218" s="30"/>
      <c r="E218" s="30"/>
      <c r="F218" s="30"/>
      <c r="G218" s="35">
        <v>8</v>
      </c>
      <c r="H218" s="34"/>
      <c r="I218" s="30"/>
      <c r="J218" s="30"/>
      <c r="K218" s="30"/>
      <c r="L218" s="30"/>
      <c r="M218" s="30"/>
      <c r="N218" s="38">
        <v>5</v>
      </c>
      <c r="O218" s="34"/>
      <c r="P218" s="30"/>
      <c r="Q218" s="30"/>
      <c r="R218" s="30"/>
      <c r="S218" s="30"/>
      <c r="T218" s="30"/>
      <c r="U218" s="38"/>
      <c r="V218" s="34"/>
      <c r="W218" s="30"/>
      <c r="X218" s="30"/>
      <c r="Y218" s="30"/>
      <c r="Z218" s="30"/>
      <c r="AA218" s="30"/>
      <c r="AB218" s="35">
        <v>3</v>
      </c>
      <c r="AD218" s="27">
        <f>IF(ISNUMBER(INDEX($A218:$AB218, MATCH(داشبرد!$D$5, $A$2:$AB$2, 0))), INDEX($A218:$AB218, MATCH(داشبرد!$D$5, $A$2:$AB$2, 0)), NA())</f>
        <v>8</v>
      </c>
    </row>
    <row r="219" spans="1:30" x14ac:dyDescent="0.3">
      <c r="A219" s="34"/>
      <c r="B219" s="30"/>
      <c r="C219" s="30"/>
      <c r="D219" s="30"/>
      <c r="E219" s="30"/>
      <c r="F219" s="30"/>
      <c r="G219" s="35">
        <v>8</v>
      </c>
      <c r="H219" s="34"/>
      <c r="I219" s="30"/>
      <c r="J219" s="30"/>
      <c r="K219" s="30"/>
      <c r="L219" s="30"/>
      <c r="M219" s="30"/>
      <c r="N219" s="38">
        <v>5</v>
      </c>
      <c r="O219" s="34"/>
      <c r="P219" s="30"/>
      <c r="Q219" s="30"/>
      <c r="R219" s="30"/>
      <c r="S219" s="30"/>
      <c r="T219" s="30"/>
      <c r="U219" s="38"/>
      <c r="V219" s="34"/>
      <c r="W219" s="30"/>
      <c r="X219" s="30"/>
      <c r="Y219" s="30"/>
      <c r="Z219" s="30"/>
      <c r="AA219" s="30"/>
      <c r="AB219" s="35">
        <v>3</v>
      </c>
      <c r="AD219" s="27">
        <f>IF(ISNUMBER(INDEX($A219:$AB219, MATCH(داشبرد!$D$5, $A$2:$AB$2, 0))), INDEX($A219:$AB219, MATCH(داشبرد!$D$5, $A$2:$AB$2, 0)), NA())</f>
        <v>8</v>
      </c>
    </row>
    <row r="220" spans="1:30" x14ac:dyDescent="0.3">
      <c r="A220" s="34"/>
      <c r="B220" s="30"/>
      <c r="C220" s="30"/>
      <c r="D220" s="30"/>
      <c r="E220" s="30"/>
      <c r="F220" s="30"/>
      <c r="G220" s="35">
        <v>8</v>
      </c>
      <c r="H220" s="34"/>
      <c r="I220" s="30"/>
      <c r="J220" s="30"/>
      <c r="K220" s="30"/>
      <c r="L220" s="30"/>
      <c r="M220" s="30"/>
      <c r="N220" s="38">
        <v>5</v>
      </c>
      <c r="O220" s="34"/>
      <c r="P220" s="30"/>
      <c r="Q220" s="30"/>
      <c r="R220" s="30"/>
      <c r="S220" s="30"/>
      <c r="T220" s="30"/>
      <c r="U220" s="38"/>
      <c r="V220" s="34"/>
      <c r="W220" s="30"/>
      <c r="X220" s="30"/>
      <c r="Y220" s="30"/>
      <c r="Z220" s="30"/>
      <c r="AA220" s="30"/>
      <c r="AB220" s="35">
        <v>3</v>
      </c>
      <c r="AD220" s="27">
        <f>IF(ISNUMBER(INDEX($A220:$AB220, MATCH(داشبرد!$D$5, $A$2:$AB$2, 0))), INDEX($A220:$AB220, MATCH(داشبرد!$D$5, $A$2:$AB$2, 0)), NA())</f>
        <v>8</v>
      </c>
    </row>
    <row r="221" spans="1:30" x14ac:dyDescent="0.3">
      <c r="A221" s="34"/>
      <c r="B221" s="30"/>
      <c r="C221" s="30"/>
      <c r="D221" s="30"/>
      <c r="E221" s="30"/>
      <c r="F221" s="30"/>
      <c r="G221" s="35">
        <v>7</v>
      </c>
      <c r="H221" s="34"/>
      <c r="I221" s="30"/>
      <c r="J221" s="30"/>
      <c r="K221" s="30"/>
      <c r="L221" s="30"/>
      <c r="M221" s="30"/>
      <c r="N221" s="38">
        <v>5</v>
      </c>
      <c r="O221" s="34"/>
      <c r="P221" s="30"/>
      <c r="Q221" s="30"/>
      <c r="R221" s="30"/>
      <c r="S221" s="30"/>
      <c r="T221" s="30"/>
      <c r="U221" s="38"/>
      <c r="V221" s="34"/>
      <c r="W221" s="30"/>
      <c r="X221" s="30"/>
      <c r="Y221" s="30"/>
      <c r="Z221" s="30"/>
      <c r="AA221" s="30"/>
      <c r="AB221" s="35">
        <v>2</v>
      </c>
      <c r="AD221" s="27">
        <f>IF(ISNUMBER(INDEX($A221:$AB221, MATCH(داشبرد!$D$5, $A$2:$AB$2, 0))), INDEX($A221:$AB221, MATCH(داشبرد!$D$5, $A$2:$AB$2, 0)), NA())</f>
        <v>7</v>
      </c>
    </row>
    <row r="222" spans="1:30" x14ac:dyDescent="0.3">
      <c r="A222" s="34"/>
      <c r="B222" s="30"/>
      <c r="C222" s="30"/>
      <c r="D222" s="30"/>
      <c r="E222" s="30"/>
      <c r="F222" s="30"/>
      <c r="G222" s="35">
        <v>11</v>
      </c>
      <c r="H222" s="34"/>
      <c r="I222" s="30"/>
      <c r="J222" s="30"/>
      <c r="K222" s="30"/>
      <c r="L222" s="30"/>
      <c r="M222" s="30"/>
      <c r="N222" s="38">
        <v>2</v>
      </c>
      <c r="O222" s="34"/>
      <c r="P222" s="30"/>
      <c r="Q222" s="30"/>
      <c r="R222" s="30"/>
      <c r="S222" s="30"/>
      <c r="T222" s="30"/>
      <c r="U222" s="38"/>
      <c r="V222" s="34"/>
      <c r="W222" s="30"/>
      <c r="X222" s="30"/>
      <c r="Y222" s="30"/>
      <c r="Z222" s="30"/>
      <c r="AA222" s="30"/>
      <c r="AB222" s="35">
        <v>4</v>
      </c>
      <c r="AD222" s="27">
        <f>IF(ISNUMBER(INDEX($A222:$AB222, MATCH(داشبرد!$D$5, $A$2:$AB$2, 0))), INDEX($A222:$AB222, MATCH(داشبرد!$D$5, $A$2:$AB$2, 0)), NA())</f>
        <v>11</v>
      </c>
    </row>
    <row r="223" spans="1:30" x14ac:dyDescent="0.3">
      <c r="A223" s="34"/>
      <c r="B223" s="30"/>
      <c r="C223" s="30"/>
      <c r="D223" s="30"/>
      <c r="E223" s="30"/>
      <c r="F223" s="30"/>
      <c r="G223" s="35">
        <v>9</v>
      </c>
      <c r="H223" s="34"/>
      <c r="I223" s="30"/>
      <c r="J223" s="30"/>
      <c r="K223" s="30"/>
      <c r="L223" s="30"/>
      <c r="M223" s="30"/>
      <c r="N223" s="38">
        <v>2</v>
      </c>
      <c r="O223" s="34"/>
      <c r="P223" s="30"/>
      <c r="Q223" s="30"/>
      <c r="R223" s="30"/>
      <c r="S223" s="30"/>
      <c r="T223" s="30"/>
      <c r="U223" s="38"/>
      <c r="V223" s="34"/>
      <c r="W223" s="30"/>
      <c r="X223" s="30"/>
      <c r="Y223" s="30"/>
      <c r="Z223" s="30"/>
      <c r="AA223" s="30"/>
      <c r="AB223" s="35">
        <v>2</v>
      </c>
      <c r="AD223" s="27">
        <f>IF(ISNUMBER(INDEX($A223:$AB223, MATCH(داشبرد!$D$5, $A$2:$AB$2, 0))), INDEX($A223:$AB223, MATCH(داشبرد!$D$5, $A$2:$AB$2, 0)), NA())</f>
        <v>9</v>
      </c>
    </row>
    <row r="224" spans="1:30" x14ac:dyDescent="0.3">
      <c r="A224" s="34"/>
      <c r="B224" s="30"/>
      <c r="C224" s="30"/>
      <c r="D224" s="30"/>
      <c r="E224" s="30"/>
      <c r="F224" s="30"/>
      <c r="G224" s="35">
        <v>9</v>
      </c>
      <c r="H224" s="34"/>
      <c r="I224" s="30"/>
      <c r="J224" s="30"/>
      <c r="K224" s="30"/>
      <c r="L224" s="30"/>
      <c r="M224" s="30"/>
      <c r="N224" s="38">
        <v>2</v>
      </c>
      <c r="O224" s="34"/>
      <c r="P224" s="30"/>
      <c r="Q224" s="30"/>
      <c r="R224" s="30"/>
      <c r="S224" s="30"/>
      <c r="T224" s="30"/>
      <c r="U224" s="38"/>
      <c r="V224" s="34"/>
      <c r="W224" s="30"/>
      <c r="X224" s="30"/>
      <c r="Y224" s="30"/>
      <c r="Z224" s="30"/>
      <c r="AA224" s="30"/>
      <c r="AB224" s="35">
        <v>2</v>
      </c>
      <c r="AD224" s="27">
        <f>IF(ISNUMBER(INDEX($A224:$AB224, MATCH(داشبرد!$D$5, $A$2:$AB$2, 0))), INDEX($A224:$AB224, MATCH(داشبرد!$D$5, $A$2:$AB$2, 0)), NA())</f>
        <v>9</v>
      </c>
    </row>
    <row r="225" spans="1:30" x14ac:dyDescent="0.3">
      <c r="A225" s="34"/>
      <c r="B225" s="30"/>
      <c r="C225" s="30"/>
      <c r="D225" s="30"/>
      <c r="E225" s="30"/>
      <c r="F225" s="30"/>
      <c r="G225" s="35">
        <v>17</v>
      </c>
      <c r="H225" s="34"/>
      <c r="I225" s="30"/>
      <c r="J225" s="30"/>
      <c r="K225" s="30"/>
      <c r="L225" s="30"/>
      <c r="M225" s="30"/>
      <c r="N225" s="38">
        <v>2</v>
      </c>
      <c r="O225" s="34"/>
      <c r="P225" s="30"/>
      <c r="Q225" s="30"/>
      <c r="R225" s="30"/>
      <c r="S225" s="30"/>
      <c r="T225" s="30"/>
      <c r="U225" s="38"/>
      <c r="V225" s="34"/>
      <c r="W225" s="30"/>
      <c r="X225" s="30"/>
      <c r="Y225" s="30"/>
      <c r="Z225" s="30"/>
      <c r="AA225" s="30"/>
      <c r="AB225" s="35">
        <v>5</v>
      </c>
      <c r="AD225" s="27">
        <f>IF(ISNUMBER(INDEX($A225:$AB225, MATCH(داشبرد!$D$5, $A$2:$AB$2, 0))), INDEX($A225:$AB225, MATCH(داشبرد!$D$5, $A$2:$AB$2, 0)), NA())</f>
        <v>17</v>
      </c>
    </row>
    <row r="226" spans="1:30" x14ac:dyDescent="0.3">
      <c r="A226" s="34"/>
      <c r="B226" s="30"/>
      <c r="C226" s="30"/>
      <c r="D226" s="30"/>
      <c r="E226" s="30"/>
      <c r="F226" s="30"/>
      <c r="G226" s="35">
        <v>16</v>
      </c>
      <c r="H226" s="34"/>
      <c r="I226" s="30"/>
      <c r="J226" s="30"/>
      <c r="K226" s="30"/>
      <c r="L226" s="30"/>
      <c r="M226" s="30"/>
      <c r="N226" s="38">
        <v>2</v>
      </c>
      <c r="O226" s="34"/>
      <c r="P226" s="30"/>
      <c r="Q226" s="30"/>
      <c r="R226" s="30"/>
      <c r="S226" s="30"/>
      <c r="T226" s="30"/>
      <c r="U226" s="38"/>
      <c r="V226" s="34"/>
      <c r="W226" s="30"/>
      <c r="X226" s="30"/>
      <c r="Y226" s="30"/>
      <c r="Z226" s="30"/>
      <c r="AA226" s="30"/>
      <c r="AB226" s="35">
        <v>4</v>
      </c>
      <c r="AD226" s="27">
        <f>IF(ISNUMBER(INDEX($A226:$AB226, MATCH(داشبرد!$D$5, $A$2:$AB$2, 0))), INDEX($A226:$AB226, MATCH(داشبرد!$D$5, $A$2:$AB$2, 0)), NA())</f>
        <v>16</v>
      </c>
    </row>
    <row r="227" spans="1:30" x14ac:dyDescent="0.3">
      <c r="A227" s="34"/>
      <c r="B227" s="30"/>
      <c r="C227" s="30"/>
      <c r="D227" s="30"/>
      <c r="E227" s="30"/>
      <c r="F227" s="30"/>
      <c r="G227" s="35">
        <v>16</v>
      </c>
      <c r="H227" s="34"/>
      <c r="I227" s="30"/>
      <c r="J227" s="30"/>
      <c r="K227" s="30"/>
      <c r="L227" s="30"/>
      <c r="M227" s="30"/>
      <c r="N227" s="38">
        <v>2</v>
      </c>
      <c r="O227" s="34"/>
      <c r="P227" s="30"/>
      <c r="Q227" s="30"/>
      <c r="R227" s="30"/>
      <c r="S227" s="30"/>
      <c r="T227" s="30"/>
      <c r="U227" s="38"/>
      <c r="V227" s="34"/>
      <c r="W227" s="30"/>
      <c r="X227" s="30"/>
      <c r="Y227" s="30"/>
      <c r="Z227" s="30"/>
      <c r="AA227" s="30"/>
      <c r="AB227" s="35">
        <v>4</v>
      </c>
      <c r="AD227" s="27">
        <f>IF(ISNUMBER(INDEX($A227:$AB227, MATCH(داشبرد!$D$5, $A$2:$AB$2, 0))), INDEX($A227:$AB227, MATCH(داشبرد!$D$5, $A$2:$AB$2, 0)), NA())</f>
        <v>16</v>
      </c>
    </row>
    <row r="228" spans="1:30" x14ac:dyDescent="0.3">
      <c r="A228" s="34"/>
      <c r="B228" s="30"/>
      <c r="C228" s="30"/>
      <c r="D228" s="30"/>
      <c r="E228" s="30"/>
      <c r="F228" s="30"/>
      <c r="G228" s="35">
        <v>28</v>
      </c>
      <c r="H228" s="34"/>
      <c r="I228" s="30"/>
      <c r="J228" s="30"/>
      <c r="K228" s="30"/>
      <c r="L228" s="30"/>
      <c r="M228" s="30"/>
      <c r="N228" s="38">
        <v>12</v>
      </c>
      <c r="O228" s="34"/>
      <c r="P228" s="30"/>
      <c r="Q228" s="30"/>
      <c r="R228" s="30"/>
      <c r="S228" s="30"/>
      <c r="T228" s="30"/>
      <c r="U228" s="38"/>
      <c r="V228" s="34"/>
      <c r="W228" s="30"/>
      <c r="X228" s="30"/>
      <c r="Y228" s="30"/>
      <c r="Z228" s="30"/>
      <c r="AA228" s="30"/>
      <c r="AB228" s="35">
        <v>2</v>
      </c>
      <c r="AD228" s="27">
        <f>IF(ISNUMBER(INDEX($A228:$AB228, MATCH(داشبرد!$D$5, $A$2:$AB$2, 0))), INDEX($A228:$AB228, MATCH(داشبرد!$D$5, $A$2:$AB$2, 0)), NA())</f>
        <v>28</v>
      </c>
    </row>
    <row r="229" spans="1:30" x14ac:dyDescent="0.3">
      <c r="A229" s="34"/>
      <c r="B229" s="30"/>
      <c r="C229" s="30"/>
      <c r="D229" s="30"/>
      <c r="E229" s="30"/>
      <c r="F229" s="30"/>
      <c r="G229" s="35">
        <v>20</v>
      </c>
      <c r="H229" s="34"/>
      <c r="I229" s="30"/>
      <c r="J229" s="30"/>
      <c r="K229" s="30"/>
      <c r="L229" s="30"/>
      <c r="M229" s="30"/>
      <c r="N229" s="38">
        <v>12</v>
      </c>
      <c r="O229" s="34"/>
      <c r="P229" s="30"/>
      <c r="Q229" s="30"/>
      <c r="R229" s="30"/>
      <c r="S229" s="30"/>
      <c r="T229" s="30"/>
      <c r="U229" s="38"/>
      <c r="V229" s="34"/>
      <c r="W229" s="30"/>
      <c r="X229" s="30"/>
      <c r="Y229" s="30"/>
      <c r="Z229" s="30"/>
      <c r="AA229" s="30"/>
      <c r="AB229" s="35">
        <v>2</v>
      </c>
      <c r="AD229" s="27">
        <f>IF(ISNUMBER(INDEX($A229:$AB229, MATCH(داشبرد!$D$5, $A$2:$AB$2, 0))), INDEX($A229:$AB229, MATCH(داشبرد!$D$5, $A$2:$AB$2, 0)), NA())</f>
        <v>20</v>
      </c>
    </row>
    <row r="230" spans="1:30" x14ac:dyDescent="0.3">
      <c r="A230" s="34"/>
      <c r="B230" s="30"/>
      <c r="C230" s="30"/>
      <c r="D230" s="30"/>
      <c r="E230" s="30"/>
      <c r="F230" s="30"/>
      <c r="G230" s="35">
        <v>22</v>
      </c>
      <c r="H230" s="34"/>
      <c r="I230" s="30"/>
      <c r="J230" s="30"/>
      <c r="K230" s="30"/>
      <c r="L230" s="30"/>
      <c r="M230" s="30"/>
      <c r="N230" s="38">
        <v>12</v>
      </c>
      <c r="O230" s="34"/>
      <c r="P230" s="30"/>
      <c r="Q230" s="30"/>
      <c r="R230" s="30"/>
      <c r="S230" s="30"/>
      <c r="T230" s="30"/>
      <c r="U230" s="38"/>
      <c r="V230" s="34"/>
      <c r="W230" s="30"/>
      <c r="X230" s="30"/>
      <c r="Y230" s="30"/>
      <c r="Z230" s="30"/>
      <c r="AA230" s="30"/>
      <c r="AB230" s="35">
        <v>4</v>
      </c>
      <c r="AD230" s="27">
        <f>IF(ISNUMBER(INDEX($A230:$AB230, MATCH(داشبرد!$D$5, $A$2:$AB$2, 0))), INDEX($A230:$AB230, MATCH(داشبرد!$D$5, $A$2:$AB$2, 0)), NA())</f>
        <v>22</v>
      </c>
    </row>
    <row r="231" spans="1:30" x14ac:dyDescent="0.3">
      <c r="A231" s="34"/>
      <c r="B231" s="30"/>
      <c r="C231" s="30"/>
      <c r="D231" s="30"/>
      <c r="E231" s="30"/>
      <c r="F231" s="30"/>
      <c r="G231" s="35">
        <v>18</v>
      </c>
      <c r="H231" s="34"/>
      <c r="I231" s="30"/>
      <c r="J231" s="30"/>
      <c r="K231" s="30"/>
      <c r="L231" s="30"/>
      <c r="M231" s="30"/>
      <c r="N231" s="38">
        <v>12</v>
      </c>
      <c r="O231" s="34"/>
      <c r="P231" s="30"/>
      <c r="Q231" s="30"/>
      <c r="R231" s="30"/>
      <c r="S231" s="30"/>
      <c r="T231" s="30"/>
      <c r="U231" s="38"/>
      <c r="V231" s="34"/>
      <c r="W231" s="30"/>
      <c r="X231" s="30"/>
      <c r="Y231" s="30"/>
      <c r="Z231" s="30"/>
      <c r="AA231" s="30"/>
      <c r="AB231" s="35">
        <v>2</v>
      </c>
      <c r="AD231" s="27">
        <f>IF(ISNUMBER(INDEX($A231:$AB231, MATCH(داشبرد!$D$5, $A$2:$AB$2, 0))), INDEX($A231:$AB231, MATCH(داشبرد!$D$5, $A$2:$AB$2, 0)), NA())</f>
        <v>18</v>
      </c>
    </row>
    <row r="232" spans="1:30" x14ac:dyDescent="0.3">
      <c r="A232" s="34"/>
      <c r="B232" s="30"/>
      <c r="C232" s="30"/>
      <c r="D232" s="30"/>
      <c r="E232" s="30"/>
      <c r="F232" s="30"/>
      <c r="G232" s="35">
        <v>18</v>
      </c>
      <c r="H232" s="34"/>
      <c r="I232" s="30"/>
      <c r="J232" s="30"/>
      <c r="K232" s="30"/>
      <c r="L232" s="30"/>
      <c r="M232" s="30"/>
      <c r="N232" s="38">
        <v>12</v>
      </c>
      <c r="O232" s="34"/>
      <c r="P232" s="30"/>
      <c r="Q232" s="30"/>
      <c r="R232" s="30"/>
      <c r="S232" s="30"/>
      <c r="T232" s="30"/>
      <c r="U232" s="38"/>
      <c r="V232" s="34"/>
      <c r="W232" s="30"/>
      <c r="X232" s="30"/>
      <c r="Y232" s="30"/>
      <c r="Z232" s="30"/>
      <c r="AA232" s="30"/>
      <c r="AB232" s="35">
        <v>2</v>
      </c>
      <c r="AD232" s="27">
        <f>IF(ISNUMBER(INDEX($A232:$AB232, MATCH(داشبرد!$D$5, $A$2:$AB$2, 0))), INDEX($A232:$AB232, MATCH(داشبرد!$D$5, $A$2:$AB$2, 0)), NA())</f>
        <v>18</v>
      </c>
    </row>
    <row r="233" spans="1:30" x14ac:dyDescent="0.3">
      <c r="A233" s="34"/>
      <c r="B233" s="30"/>
      <c r="C233" s="30"/>
      <c r="D233" s="30"/>
      <c r="E233" s="30"/>
      <c r="F233" s="30"/>
      <c r="G233" s="35">
        <v>17</v>
      </c>
      <c r="H233" s="34"/>
      <c r="I233" s="30"/>
      <c r="J233" s="30"/>
      <c r="K233" s="30"/>
      <c r="L233" s="30"/>
      <c r="M233" s="30"/>
      <c r="N233" s="38">
        <v>12</v>
      </c>
      <c r="O233" s="34"/>
      <c r="P233" s="30"/>
      <c r="Q233" s="30"/>
      <c r="R233" s="30"/>
      <c r="S233" s="30"/>
      <c r="T233" s="30"/>
      <c r="U233" s="38"/>
      <c r="V233" s="34"/>
      <c r="W233" s="30"/>
      <c r="X233" s="30"/>
      <c r="Y233" s="30"/>
      <c r="Z233" s="30"/>
      <c r="AA233" s="30"/>
      <c r="AB233" s="35">
        <v>3</v>
      </c>
      <c r="AD233" s="27">
        <f>IF(ISNUMBER(INDEX($A233:$AB233, MATCH(داشبرد!$D$5, $A$2:$AB$2, 0))), INDEX($A233:$AB233, MATCH(داشبرد!$D$5, $A$2:$AB$2, 0)), NA())</f>
        <v>17</v>
      </c>
    </row>
    <row r="234" spans="1:30" x14ac:dyDescent="0.3">
      <c r="A234" s="34"/>
      <c r="B234" s="30"/>
      <c r="C234" s="30"/>
      <c r="D234" s="30"/>
      <c r="E234" s="30"/>
      <c r="F234" s="30"/>
      <c r="G234" s="35">
        <v>20</v>
      </c>
      <c r="H234" s="34"/>
      <c r="I234" s="30"/>
      <c r="J234" s="30"/>
      <c r="K234" s="30"/>
      <c r="L234" s="30"/>
      <c r="M234" s="30"/>
      <c r="N234" s="38">
        <v>12</v>
      </c>
      <c r="O234" s="34"/>
      <c r="P234" s="30"/>
      <c r="Q234" s="30"/>
      <c r="R234" s="30"/>
      <c r="S234" s="30"/>
      <c r="T234" s="30"/>
      <c r="U234" s="38"/>
      <c r="V234" s="34"/>
      <c r="W234" s="30"/>
      <c r="X234" s="30"/>
      <c r="Y234" s="30"/>
      <c r="Z234" s="30"/>
      <c r="AA234" s="30"/>
      <c r="AB234" s="35">
        <v>4</v>
      </c>
      <c r="AD234" s="27">
        <f>IF(ISNUMBER(INDEX($A234:$AB234, MATCH(داشبرد!$D$5, $A$2:$AB$2, 0))), INDEX($A234:$AB234, MATCH(داشبرد!$D$5, $A$2:$AB$2, 0)), NA())</f>
        <v>20</v>
      </c>
    </row>
    <row r="235" spans="1:30" x14ac:dyDescent="0.3">
      <c r="A235" s="34"/>
      <c r="B235" s="30"/>
      <c r="C235" s="30"/>
      <c r="D235" s="30"/>
      <c r="E235" s="30"/>
      <c r="F235" s="30"/>
      <c r="G235" s="35">
        <v>19</v>
      </c>
      <c r="H235" s="34"/>
      <c r="I235" s="30"/>
      <c r="J235" s="30"/>
      <c r="K235" s="30"/>
      <c r="L235" s="30"/>
      <c r="M235" s="30"/>
      <c r="N235" s="38">
        <v>12</v>
      </c>
      <c r="O235" s="34"/>
      <c r="P235" s="30"/>
      <c r="Q235" s="30"/>
      <c r="R235" s="30"/>
      <c r="S235" s="30"/>
      <c r="T235" s="30"/>
      <c r="U235" s="38"/>
      <c r="V235" s="34"/>
      <c r="W235" s="30"/>
      <c r="X235" s="30"/>
      <c r="Y235" s="30"/>
      <c r="Z235" s="30"/>
      <c r="AA235" s="30"/>
      <c r="AB235" s="35">
        <v>3</v>
      </c>
      <c r="AD235" s="27">
        <f>IF(ISNUMBER(INDEX($A235:$AB235, MATCH(داشبرد!$D$5, $A$2:$AB$2, 0))), INDEX($A235:$AB235, MATCH(داشبرد!$D$5, $A$2:$AB$2, 0)), NA())</f>
        <v>19</v>
      </c>
    </row>
    <row r="236" spans="1:30" x14ac:dyDescent="0.3">
      <c r="A236" s="34"/>
      <c r="B236" s="30"/>
      <c r="C236" s="30"/>
      <c r="D236" s="30"/>
      <c r="E236" s="30"/>
      <c r="F236" s="30"/>
      <c r="G236" s="35">
        <v>18</v>
      </c>
      <c r="H236" s="34"/>
      <c r="I236" s="30"/>
      <c r="J236" s="30"/>
      <c r="K236" s="30"/>
      <c r="L236" s="30"/>
      <c r="M236" s="30"/>
      <c r="N236" s="38">
        <v>12</v>
      </c>
      <c r="O236" s="34"/>
      <c r="P236" s="30"/>
      <c r="Q236" s="30"/>
      <c r="R236" s="30"/>
      <c r="S236" s="30"/>
      <c r="T236" s="30"/>
      <c r="U236" s="38"/>
      <c r="V236" s="34"/>
      <c r="W236" s="30"/>
      <c r="X236" s="30"/>
      <c r="Y236" s="30"/>
      <c r="Z236" s="30"/>
      <c r="AA236" s="30"/>
      <c r="AB236" s="35">
        <v>4</v>
      </c>
      <c r="AD236" s="27">
        <f>IF(ISNUMBER(INDEX($A236:$AB236, MATCH(داشبرد!$D$5, $A$2:$AB$2, 0))), INDEX($A236:$AB236, MATCH(داشبرد!$D$5, $A$2:$AB$2, 0)), NA())</f>
        <v>18</v>
      </c>
    </row>
    <row r="237" spans="1:30" x14ac:dyDescent="0.3">
      <c r="A237" s="34"/>
      <c r="B237" s="30"/>
      <c r="C237" s="30"/>
      <c r="D237" s="30"/>
      <c r="E237" s="30"/>
      <c r="F237" s="30"/>
      <c r="G237" s="35">
        <v>19</v>
      </c>
      <c r="H237" s="34"/>
      <c r="I237" s="30"/>
      <c r="J237" s="30"/>
      <c r="K237" s="30"/>
      <c r="L237" s="30"/>
      <c r="M237" s="30"/>
      <c r="N237" s="38">
        <v>12</v>
      </c>
      <c r="O237" s="34"/>
      <c r="P237" s="30"/>
      <c r="Q237" s="30"/>
      <c r="R237" s="30"/>
      <c r="S237" s="30"/>
      <c r="T237" s="30"/>
      <c r="U237" s="38"/>
      <c r="V237" s="34"/>
      <c r="W237" s="30"/>
      <c r="X237" s="30"/>
      <c r="Y237" s="30"/>
      <c r="Z237" s="30"/>
      <c r="AA237" s="30"/>
      <c r="AB237" s="35">
        <v>5</v>
      </c>
      <c r="AD237" s="27">
        <f>IF(ISNUMBER(INDEX($A237:$AB237, MATCH(داشبرد!$D$5, $A$2:$AB$2, 0))), INDEX($A237:$AB237, MATCH(داشبرد!$D$5, $A$2:$AB$2, 0)), NA())</f>
        <v>19</v>
      </c>
    </row>
    <row r="238" spans="1:30" x14ac:dyDescent="0.3">
      <c r="A238" s="34"/>
      <c r="B238" s="30"/>
      <c r="C238" s="30"/>
      <c r="D238" s="30"/>
      <c r="E238" s="30"/>
      <c r="F238" s="30"/>
      <c r="G238" s="35">
        <v>18</v>
      </c>
      <c r="H238" s="34"/>
      <c r="I238" s="30"/>
      <c r="J238" s="30"/>
      <c r="K238" s="30"/>
      <c r="L238" s="30"/>
      <c r="M238" s="30"/>
      <c r="N238" s="38">
        <v>12</v>
      </c>
      <c r="O238" s="34"/>
      <c r="P238" s="30"/>
      <c r="Q238" s="30"/>
      <c r="R238" s="30"/>
      <c r="S238" s="30"/>
      <c r="T238" s="30"/>
      <c r="U238" s="38"/>
      <c r="V238" s="34"/>
      <c r="W238" s="30"/>
      <c r="X238" s="30"/>
      <c r="Y238" s="30"/>
      <c r="Z238" s="30"/>
      <c r="AA238" s="30"/>
      <c r="AB238" s="35">
        <v>4</v>
      </c>
      <c r="AD238" s="27">
        <f>IF(ISNUMBER(INDEX($A238:$AB238, MATCH(داشبرد!$D$5, $A$2:$AB$2, 0))), INDEX($A238:$AB238, MATCH(داشبرد!$D$5, $A$2:$AB$2, 0)), NA())</f>
        <v>18</v>
      </c>
    </row>
    <row r="239" spans="1:30" x14ac:dyDescent="0.3">
      <c r="A239" s="34"/>
      <c r="B239" s="30"/>
      <c r="C239" s="30"/>
      <c r="D239" s="30"/>
      <c r="E239" s="30"/>
      <c r="F239" s="30"/>
      <c r="G239" s="35">
        <v>12</v>
      </c>
      <c r="H239" s="34"/>
      <c r="I239" s="30"/>
      <c r="J239" s="30"/>
      <c r="K239" s="30"/>
      <c r="L239" s="30"/>
      <c r="M239" s="30"/>
      <c r="N239" s="38">
        <v>3</v>
      </c>
      <c r="O239" s="34"/>
      <c r="P239" s="30"/>
      <c r="Q239" s="30"/>
      <c r="R239" s="30"/>
      <c r="S239" s="30"/>
      <c r="T239" s="30"/>
      <c r="U239" s="38"/>
      <c r="V239" s="34"/>
      <c r="W239" s="30"/>
      <c r="X239" s="30"/>
      <c r="Y239" s="30"/>
      <c r="Z239" s="30"/>
      <c r="AA239" s="30"/>
      <c r="AB239" s="35">
        <v>4</v>
      </c>
      <c r="AD239" s="27">
        <f>IF(ISNUMBER(INDEX($A239:$AB239, MATCH(داشبرد!$D$5, $A$2:$AB$2, 0))), INDEX($A239:$AB239, MATCH(داشبرد!$D$5, $A$2:$AB$2, 0)), NA())</f>
        <v>12</v>
      </c>
    </row>
    <row r="240" spans="1:30" x14ac:dyDescent="0.3">
      <c r="A240" s="34"/>
      <c r="B240" s="30"/>
      <c r="C240" s="30"/>
      <c r="D240" s="30"/>
      <c r="E240" s="30"/>
      <c r="F240" s="30"/>
      <c r="G240" s="35">
        <v>12</v>
      </c>
      <c r="H240" s="34"/>
      <c r="I240" s="30"/>
      <c r="J240" s="30"/>
      <c r="K240" s="30"/>
      <c r="L240" s="30"/>
      <c r="M240" s="30"/>
      <c r="N240" s="38">
        <v>3</v>
      </c>
      <c r="O240" s="34"/>
      <c r="P240" s="30"/>
      <c r="Q240" s="30"/>
      <c r="R240" s="30"/>
      <c r="S240" s="30"/>
      <c r="T240" s="30"/>
      <c r="U240" s="38"/>
      <c r="V240" s="34"/>
      <c r="W240" s="30"/>
      <c r="X240" s="30"/>
      <c r="Y240" s="30"/>
      <c r="Z240" s="30"/>
      <c r="AA240" s="30"/>
      <c r="AB240" s="35">
        <v>4</v>
      </c>
      <c r="AD240" s="27">
        <f>IF(ISNUMBER(INDEX($A240:$AB240, MATCH(داشبرد!$D$5, $A$2:$AB$2, 0))), INDEX($A240:$AB240, MATCH(داشبرد!$D$5, $A$2:$AB$2, 0)), NA())</f>
        <v>12</v>
      </c>
    </row>
    <row r="241" spans="1:30" x14ac:dyDescent="0.3">
      <c r="A241" s="34"/>
      <c r="B241" s="30"/>
      <c r="C241" s="30"/>
      <c r="D241" s="30"/>
      <c r="E241" s="30"/>
      <c r="F241" s="30"/>
      <c r="G241" s="35">
        <v>10</v>
      </c>
      <c r="H241" s="34"/>
      <c r="I241" s="30"/>
      <c r="J241" s="30"/>
      <c r="K241" s="30"/>
      <c r="L241" s="30"/>
      <c r="M241" s="30"/>
      <c r="N241" s="38">
        <v>3</v>
      </c>
      <c r="O241" s="34"/>
      <c r="P241" s="30"/>
      <c r="Q241" s="30"/>
      <c r="R241" s="30"/>
      <c r="S241" s="30"/>
      <c r="T241" s="30"/>
      <c r="U241" s="38"/>
      <c r="V241" s="34"/>
      <c r="W241" s="30"/>
      <c r="X241" s="30"/>
      <c r="Y241" s="30"/>
      <c r="Z241" s="30"/>
      <c r="AA241" s="30"/>
      <c r="AB241" s="35">
        <v>3</v>
      </c>
      <c r="AD241" s="27">
        <f>IF(ISNUMBER(INDEX($A241:$AB241, MATCH(داشبرد!$D$5, $A$2:$AB$2, 0))), INDEX($A241:$AB241, MATCH(داشبرد!$D$5, $A$2:$AB$2, 0)), NA())</f>
        <v>10</v>
      </c>
    </row>
    <row r="242" spans="1:30" x14ac:dyDescent="0.3">
      <c r="A242" s="34"/>
      <c r="B242" s="30"/>
      <c r="C242" s="30"/>
      <c r="D242" s="30"/>
      <c r="E242" s="30"/>
      <c r="F242" s="30"/>
      <c r="G242" s="35">
        <v>11</v>
      </c>
      <c r="H242" s="34"/>
      <c r="I242" s="30"/>
      <c r="J242" s="30"/>
      <c r="K242" s="30"/>
      <c r="L242" s="30"/>
      <c r="M242" s="30"/>
      <c r="N242" s="38">
        <v>3</v>
      </c>
      <c r="O242" s="34"/>
      <c r="P242" s="30"/>
      <c r="Q242" s="30"/>
      <c r="R242" s="30"/>
      <c r="S242" s="30"/>
      <c r="T242" s="30"/>
      <c r="U242" s="38"/>
      <c r="V242" s="34"/>
      <c r="W242" s="30"/>
      <c r="X242" s="30"/>
      <c r="Y242" s="30"/>
      <c r="Z242" s="30"/>
      <c r="AA242" s="30"/>
      <c r="AB242" s="35">
        <v>4</v>
      </c>
      <c r="AD242" s="27">
        <f>IF(ISNUMBER(INDEX($A242:$AB242, MATCH(داشبرد!$D$5, $A$2:$AB$2, 0))), INDEX($A242:$AB242, MATCH(داشبرد!$D$5, $A$2:$AB$2, 0)), NA())</f>
        <v>11</v>
      </c>
    </row>
    <row r="243" spans="1:30" x14ac:dyDescent="0.3">
      <c r="A243" s="34"/>
      <c r="B243" s="30"/>
      <c r="C243" s="30"/>
      <c r="D243" s="30"/>
      <c r="E243" s="30"/>
      <c r="F243" s="30"/>
      <c r="G243" s="35">
        <v>10</v>
      </c>
      <c r="H243" s="34"/>
      <c r="I243" s="30"/>
      <c r="J243" s="30"/>
      <c r="K243" s="30"/>
      <c r="L243" s="30"/>
      <c r="M243" s="30"/>
      <c r="N243" s="38">
        <v>3</v>
      </c>
      <c r="O243" s="34"/>
      <c r="P243" s="30"/>
      <c r="Q243" s="30"/>
      <c r="R243" s="30"/>
      <c r="S243" s="30"/>
      <c r="T243" s="30"/>
      <c r="U243" s="38"/>
      <c r="V243" s="34"/>
      <c r="W243" s="30"/>
      <c r="X243" s="30"/>
      <c r="Y243" s="30"/>
      <c r="Z243" s="30"/>
      <c r="AA243" s="30"/>
      <c r="AB243" s="35">
        <v>3</v>
      </c>
      <c r="AD243" s="27">
        <f>IF(ISNUMBER(INDEX($A243:$AB243, MATCH(داشبرد!$D$5, $A$2:$AB$2, 0))), INDEX($A243:$AB243, MATCH(داشبرد!$D$5, $A$2:$AB$2, 0)), NA())</f>
        <v>10</v>
      </c>
    </row>
    <row r="244" spans="1:30" x14ac:dyDescent="0.3">
      <c r="A244" s="34"/>
      <c r="B244" s="30"/>
      <c r="C244" s="30"/>
      <c r="D244" s="30"/>
      <c r="E244" s="30"/>
      <c r="F244" s="30"/>
      <c r="G244" s="35">
        <v>6</v>
      </c>
      <c r="H244" s="34"/>
      <c r="I244" s="30"/>
      <c r="J244" s="30"/>
      <c r="K244" s="30"/>
      <c r="L244" s="30"/>
      <c r="M244" s="30"/>
      <c r="N244" s="38">
        <v>3</v>
      </c>
      <c r="O244" s="34"/>
      <c r="P244" s="30"/>
      <c r="Q244" s="30"/>
      <c r="R244" s="30"/>
      <c r="S244" s="30"/>
      <c r="T244" s="30"/>
      <c r="U244" s="38"/>
      <c r="V244" s="34"/>
      <c r="W244" s="30"/>
      <c r="X244" s="30"/>
      <c r="Y244" s="30"/>
      <c r="Z244" s="30"/>
      <c r="AA244" s="30"/>
      <c r="AB244" s="35">
        <v>2</v>
      </c>
      <c r="AD244" s="27">
        <f>IF(ISNUMBER(INDEX($A244:$AB244, MATCH(داشبرد!$D$5, $A$2:$AB$2, 0))), INDEX($A244:$AB244, MATCH(داشبرد!$D$5, $A$2:$AB$2, 0)), NA())</f>
        <v>6</v>
      </c>
    </row>
    <row r="245" spans="1:30" x14ac:dyDescent="0.3">
      <c r="A245" s="34"/>
      <c r="B245" s="30"/>
      <c r="C245" s="30"/>
      <c r="D245" s="30"/>
      <c r="E245" s="30"/>
      <c r="F245" s="30"/>
      <c r="G245" s="35">
        <v>12</v>
      </c>
      <c r="H245" s="34"/>
      <c r="I245" s="30"/>
      <c r="J245" s="30"/>
      <c r="K245" s="30"/>
      <c r="L245" s="30"/>
      <c r="M245" s="30"/>
      <c r="N245" s="38">
        <v>3</v>
      </c>
      <c r="O245" s="34"/>
      <c r="P245" s="30"/>
      <c r="Q245" s="30"/>
      <c r="R245" s="30"/>
      <c r="S245" s="30"/>
      <c r="T245" s="30"/>
      <c r="U245" s="38"/>
      <c r="V245" s="34"/>
      <c r="W245" s="30"/>
      <c r="X245" s="30"/>
      <c r="Y245" s="30"/>
      <c r="Z245" s="30"/>
      <c r="AA245" s="30"/>
      <c r="AB245" s="35">
        <v>4</v>
      </c>
      <c r="AD245" s="27">
        <f>IF(ISNUMBER(INDEX($A245:$AB245, MATCH(داشبرد!$D$5, $A$2:$AB$2, 0))), INDEX($A245:$AB245, MATCH(داشبرد!$D$5, $A$2:$AB$2, 0)), NA())</f>
        <v>12</v>
      </c>
    </row>
    <row r="246" spans="1:30" x14ac:dyDescent="0.3">
      <c r="A246" s="34"/>
      <c r="B246" s="30"/>
      <c r="C246" s="30"/>
      <c r="D246" s="30"/>
      <c r="E246" s="30"/>
      <c r="F246" s="30"/>
      <c r="G246" s="35">
        <v>6</v>
      </c>
      <c r="H246" s="34"/>
      <c r="I246" s="30"/>
      <c r="J246" s="30"/>
      <c r="K246" s="30"/>
      <c r="L246" s="30"/>
      <c r="M246" s="30"/>
      <c r="N246" s="38">
        <v>3</v>
      </c>
      <c r="O246" s="34"/>
      <c r="P246" s="30"/>
      <c r="Q246" s="30"/>
      <c r="R246" s="30"/>
      <c r="S246" s="30"/>
      <c r="T246" s="30"/>
      <c r="U246" s="38"/>
      <c r="V246" s="34"/>
      <c r="W246" s="30"/>
      <c r="X246" s="30"/>
      <c r="Y246" s="30"/>
      <c r="Z246" s="30"/>
      <c r="AA246" s="30"/>
      <c r="AB246" s="35">
        <v>2</v>
      </c>
      <c r="AD246" s="27">
        <f>IF(ISNUMBER(INDEX($A246:$AB246, MATCH(داشبرد!$D$5, $A$2:$AB$2, 0))), INDEX($A246:$AB246, MATCH(داشبرد!$D$5, $A$2:$AB$2, 0)), NA())</f>
        <v>6</v>
      </c>
    </row>
    <row r="247" spans="1:30" x14ac:dyDescent="0.3">
      <c r="A247" s="34"/>
      <c r="B247" s="30"/>
      <c r="C247" s="30"/>
      <c r="D247" s="30"/>
      <c r="E247" s="30"/>
      <c r="F247" s="30"/>
      <c r="G247" s="35">
        <v>8</v>
      </c>
      <c r="H247" s="34"/>
      <c r="I247" s="30"/>
      <c r="J247" s="30"/>
      <c r="K247" s="30"/>
      <c r="L247" s="30"/>
      <c r="M247" s="30"/>
      <c r="N247" s="38">
        <v>3</v>
      </c>
      <c r="O247" s="34"/>
      <c r="P247" s="30"/>
      <c r="Q247" s="30"/>
      <c r="R247" s="30"/>
      <c r="S247" s="30"/>
      <c r="T247" s="30"/>
      <c r="U247" s="38"/>
      <c r="V247" s="34"/>
      <c r="W247" s="30"/>
      <c r="X247" s="30"/>
      <c r="Y247" s="30"/>
      <c r="Z247" s="30"/>
      <c r="AA247" s="30"/>
      <c r="AB247" s="35">
        <v>4</v>
      </c>
      <c r="AD247" s="27">
        <f>IF(ISNUMBER(INDEX($A247:$AB247, MATCH(داشبرد!$D$5, $A$2:$AB$2, 0))), INDEX($A247:$AB247, MATCH(داشبرد!$D$5, $A$2:$AB$2, 0)), NA())</f>
        <v>8</v>
      </c>
    </row>
    <row r="248" spans="1:30" x14ac:dyDescent="0.3">
      <c r="A248" s="34"/>
      <c r="B248" s="30"/>
      <c r="C248" s="30"/>
      <c r="D248" s="30"/>
      <c r="E248" s="30"/>
      <c r="F248" s="30"/>
      <c r="G248" s="35">
        <v>11</v>
      </c>
      <c r="H248" s="34"/>
      <c r="I248" s="30"/>
      <c r="J248" s="30"/>
      <c r="K248" s="30"/>
      <c r="L248" s="30"/>
      <c r="M248" s="30"/>
      <c r="N248" s="38">
        <v>3</v>
      </c>
      <c r="O248" s="34"/>
      <c r="P248" s="30"/>
      <c r="Q248" s="30"/>
      <c r="R248" s="30"/>
      <c r="S248" s="30"/>
      <c r="T248" s="30"/>
      <c r="U248" s="38"/>
      <c r="V248" s="34"/>
      <c r="W248" s="30"/>
      <c r="X248" s="30"/>
      <c r="Y248" s="30"/>
      <c r="Z248" s="30"/>
      <c r="AA248" s="30"/>
      <c r="AB248" s="35">
        <v>3</v>
      </c>
      <c r="AD248" s="27">
        <f>IF(ISNUMBER(INDEX($A248:$AB248, MATCH(داشبرد!$D$5, $A$2:$AB$2, 0))), INDEX($A248:$AB248, MATCH(داشبرد!$D$5, $A$2:$AB$2, 0)), NA())</f>
        <v>11</v>
      </c>
    </row>
    <row r="249" spans="1:30" x14ac:dyDescent="0.3">
      <c r="A249" s="34"/>
      <c r="B249" s="30"/>
      <c r="C249" s="30"/>
      <c r="D249" s="30"/>
      <c r="E249" s="30"/>
      <c r="F249" s="30"/>
      <c r="G249" s="35">
        <v>11</v>
      </c>
      <c r="H249" s="34"/>
      <c r="I249" s="30"/>
      <c r="J249" s="30"/>
      <c r="K249" s="30"/>
      <c r="L249" s="30"/>
      <c r="M249" s="30"/>
      <c r="N249" s="38">
        <v>3</v>
      </c>
      <c r="O249" s="34"/>
      <c r="P249" s="30"/>
      <c r="Q249" s="30"/>
      <c r="R249" s="30"/>
      <c r="S249" s="30"/>
      <c r="T249" s="30"/>
      <c r="U249" s="38"/>
      <c r="V249" s="34"/>
      <c r="W249" s="30"/>
      <c r="X249" s="30"/>
      <c r="Y249" s="30"/>
      <c r="Z249" s="30"/>
      <c r="AA249" s="30"/>
      <c r="AB249" s="35">
        <v>3</v>
      </c>
      <c r="AD249" s="27">
        <f>IF(ISNUMBER(INDEX($A249:$AB249, MATCH(داشبرد!$D$5, $A$2:$AB$2, 0))), INDEX($A249:$AB249, MATCH(داشبرد!$D$5, $A$2:$AB$2, 0)), NA())</f>
        <v>11</v>
      </c>
    </row>
    <row r="250" spans="1:30" x14ac:dyDescent="0.3">
      <c r="A250" s="34"/>
      <c r="B250" s="30"/>
      <c r="C250" s="30"/>
      <c r="D250" s="30"/>
      <c r="E250" s="30"/>
      <c r="F250" s="30"/>
      <c r="G250" s="35">
        <v>11</v>
      </c>
      <c r="H250" s="34"/>
      <c r="I250" s="30"/>
      <c r="J250" s="30"/>
      <c r="K250" s="30"/>
      <c r="L250" s="30"/>
      <c r="M250" s="30"/>
      <c r="N250" s="38">
        <v>7</v>
      </c>
      <c r="O250" s="34"/>
      <c r="P250" s="30"/>
      <c r="Q250" s="30"/>
      <c r="R250" s="30"/>
      <c r="S250" s="30"/>
      <c r="T250" s="30"/>
      <c r="U250" s="38"/>
      <c r="V250" s="34"/>
      <c r="W250" s="30"/>
      <c r="X250" s="30"/>
      <c r="Y250" s="30"/>
      <c r="Z250" s="30"/>
      <c r="AA250" s="30"/>
      <c r="AB250" s="35">
        <v>3</v>
      </c>
      <c r="AD250" s="27">
        <f>IF(ISNUMBER(INDEX($A250:$AB250, MATCH(داشبرد!$D$5, $A$2:$AB$2, 0))), INDEX($A250:$AB250, MATCH(داشبرد!$D$5, $A$2:$AB$2, 0)), NA())</f>
        <v>11</v>
      </c>
    </row>
    <row r="251" spans="1:30" x14ac:dyDescent="0.3">
      <c r="A251" s="34"/>
      <c r="B251" s="30"/>
      <c r="C251" s="30"/>
      <c r="D251" s="30"/>
      <c r="E251" s="30"/>
      <c r="F251" s="30"/>
      <c r="G251" s="35">
        <v>12</v>
      </c>
      <c r="H251" s="34"/>
      <c r="I251" s="30"/>
      <c r="J251" s="30"/>
      <c r="K251" s="30"/>
      <c r="L251" s="30"/>
      <c r="M251" s="30"/>
      <c r="N251" s="38">
        <v>7</v>
      </c>
      <c r="O251" s="34"/>
      <c r="P251" s="30"/>
      <c r="Q251" s="30"/>
      <c r="R251" s="30"/>
      <c r="S251" s="30"/>
      <c r="T251" s="30"/>
      <c r="U251" s="38"/>
      <c r="V251" s="34"/>
      <c r="W251" s="30"/>
      <c r="X251" s="30"/>
      <c r="Y251" s="30"/>
      <c r="Z251" s="30"/>
      <c r="AA251" s="30"/>
      <c r="AB251" s="35">
        <v>3</v>
      </c>
      <c r="AD251" s="27">
        <f>IF(ISNUMBER(INDEX($A251:$AB251, MATCH(داشبرد!$D$5, $A$2:$AB$2, 0))), INDEX($A251:$AB251, MATCH(داشبرد!$D$5, $A$2:$AB$2, 0)), NA())</f>
        <v>12</v>
      </c>
    </row>
    <row r="252" spans="1:30" x14ac:dyDescent="0.3">
      <c r="A252" s="34"/>
      <c r="B252" s="30"/>
      <c r="C252" s="30"/>
      <c r="D252" s="30"/>
      <c r="E252" s="30"/>
      <c r="F252" s="30"/>
      <c r="G252" s="35">
        <v>14</v>
      </c>
      <c r="H252" s="34"/>
      <c r="I252" s="30"/>
      <c r="J252" s="30"/>
      <c r="K252" s="30"/>
      <c r="L252" s="30"/>
      <c r="M252" s="30"/>
      <c r="N252" s="38">
        <v>7</v>
      </c>
      <c r="O252" s="34"/>
      <c r="P252" s="30"/>
      <c r="Q252" s="30"/>
      <c r="R252" s="30"/>
      <c r="S252" s="30"/>
      <c r="T252" s="30"/>
      <c r="U252" s="38"/>
      <c r="V252" s="34"/>
      <c r="W252" s="30"/>
      <c r="X252" s="30"/>
      <c r="Y252" s="30"/>
      <c r="Z252" s="30"/>
      <c r="AA252" s="30"/>
      <c r="AB252" s="35">
        <v>4</v>
      </c>
      <c r="AD252" s="27">
        <f>IF(ISNUMBER(INDEX($A252:$AB252, MATCH(داشبرد!$D$5, $A$2:$AB$2, 0))), INDEX($A252:$AB252, MATCH(داشبرد!$D$5, $A$2:$AB$2, 0)), NA())</f>
        <v>14</v>
      </c>
    </row>
    <row r="253" spans="1:30" x14ac:dyDescent="0.3">
      <c r="A253" s="34"/>
      <c r="B253" s="30"/>
      <c r="C253" s="30"/>
      <c r="D253" s="30"/>
      <c r="E253" s="30"/>
      <c r="F253" s="30"/>
      <c r="G253" s="35">
        <v>15</v>
      </c>
      <c r="H253" s="34"/>
      <c r="I253" s="30"/>
      <c r="J253" s="30"/>
      <c r="K253" s="30"/>
      <c r="L253" s="30"/>
      <c r="M253" s="30"/>
      <c r="N253" s="38">
        <v>7</v>
      </c>
      <c r="O253" s="34"/>
      <c r="P253" s="30"/>
      <c r="Q253" s="30"/>
      <c r="R253" s="30"/>
      <c r="S253" s="30"/>
      <c r="T253" s="30"/>
      <c r="U253" s="38"/>
      <c r="V253" s="34"/>
      <c r="W253" s="30"/>
      <c r="X253" s="30"/>
      <c r="Y253" s="30"/>
      <c r="Z253" s="30"/>
      <c r="AA253" s="30"/>
      <c r="AB253" s="35">
        <v>5</v>
      </c>
      <c r="AD253" s="27">
        <f>IF(ISNUMBER(INDEX($A253:$AB253, MATCH(داشبرد!$D$5, $A$2:$AB$2, 0))), INDEX($A253:$AB253, MATCH(داشبرد!$D$5, $A$2:$AB$2, 0)), NA())</f>
        <v>15</v>
      </c>
    </row>
    <row r="254" spans="1:30" x14ac:dyDescent="0.3">
      <c r="A254" s="34"/>
      <c r="B254" s="30"/>
      <c r="C254" s="30"/>
      <c r="D254" s="30"/>
      <c r="E254" s="30"/>
      <c r="F254" s="30"/>
      <c r="G254" s="35">
        <v>14</v>
      </c>
      <c r="H254" s="34"/>
      <c r="I254" s="30"/>
      <c r="J254" s="30"/>
      <c r="K254" s="30"/>
      <c r="L254" s="30"/>
      <c r="M254" s="30"/>
      <c r="N254" s="38">
        <v>7</v>
      </c>
      <c r="O254" s="34"/>
      <c r="P254" s="30"/>
      <c r="Q254" s="30"/>
      <c r="R254" s="30"/>
      <c r="S254" s="30"/>
      <c r="T254" s="30"/>
      <c r="U254" s="38"/>
      <c r="V254" s="34"/>
      <c r="W254" s="30"/>
      <c r="X254" s="30"/>
      <c r="Y254" s="30"/>
      <c r="Z254" s="30"/>
      <c r="AA254" s="30"/>
      <c r="AB254" s="35">
        <v>4</v>
      </c>
      <c r="AD254" s="27">
        <f>IF(ISNUMBER(INDEX($A254:$AB254, MATCH(داشبرد!$D$5, $A$2:$AB$2, 0))), INDEX($A254:$AB254, MATCH(داشبرد!$D$5, $A$2:$AB$2, 0)), NA())</f>
        <v>14</v>
      </c>
    </row>
    <row r="255" spans="1:30" x14ac:dyDescent="0.3">
      <c r="A255" s="34"/>
      <c r="B255" s="30"/>
      <c r="C255" s="30"/>
      <c r="D255" s="30"/>
      <c r="E255" s="30"/>
      <c r="F255" s="30"/>
      <c r="G255" s="35">
        <v>20</v>
      </c>
      <c r="H255" s="34"/>
      <c r="I255" s="30"/>
      <c r="J255" s="30"/>
      <c r="K255" s="30"/>
      <c r="L255" s="30"/>
      <c r="M255" s="30"/>
      <c r="N255" s="38">
        <v>16</v>
      </c>
      <c r="O255" s="34"/>
      <c r="P255" s="30"/>
      <c r="Q255" s="30"/>
      <c r="R255" s="30"/>
      <c r="S255" s="30"/>
      <c r="T255" s="30"/>
      <c r="U255" s="38"/>
      <c r="V255" s="34"/>
      <c r="W255" s="30"/>
      <c r="X255" s="30"/>
      <c r="Y255" s="30"/>
      <c r="Z255" s="30"/>
      <c r="AA255" s="30"/>
      <c r="AB255" s="35">
        <v>2</v>
      </c>
      <c r="AD255" s="27">
        <f>IF(ISNUMBER(INDEX($A255:$AB255, MATCH(داشبرد!$D$5, $A$2:$AB$2, 0))), INDEX($A255:$AB255, MATCH(داشبرد!$D$5, $A$2:$AB$2, 0)), NA())</f>
        <v>20</v>
      </c>
    </row>
    <row r="256" spans="1:30" x14ac:dyDescent="0.3">
      <c r="A256" s="34"/>
      <c r="B256" s="30"/>
      <c r="C256" s="30"/>
      <c r="D256" s="30"/>
      <c r="E256" s="30"/>
      <c r="F256" s="30"/>
      <c r="G256" s="35">
        <v>20</v>
      </c>
      <c r="H256" s="34"/>
      <c r="I256" s="30"/>
      <c r="J256" s="30"/>
      <c r="K256" s="30"/>
      <c r="L256" s="30"/>
      <c r="M256" s="30"/>
      <c r="N256" s="38">
        <v>16</v>
      </c>
      <c r="O256" s="34"/>
      <c r="P256" s="30"/>
      <c r="Q256" s="30"/>
      <c r="R256" s="30"/>
      <c r="S256" s="30"/>
      <c r="T256" s="30"/>
      <c r="U256" s="38"/>
      <c r="V256" s="34"/>
      <c r="W256" s="30"/>
      <c r="X256" s="30"/>
      <c r="Y256" s="30"/>
      <c r="Z256" s="30"/>
      <c r="AA256" s="30"/>
      <c r="AB256" s="35">
        <v>2</v>
      </c>
      <c r="AD256" s="27">
        <f>IF(ISNUMBER(INDEX($A256:$AB256, MATCH(داشبرد!$D$5, $A$2:$AB$2, 0))), INDEX($A256:$AB256, MATCH(داشبرد!$D$5, $A$2:$AB$2, 0)), NA())</f>
        <v>20</v>
      </c>
    </row>
    <row r="257" spans="1:30" x14ac:dyDescent="0.3">
      <c r="A257" s="34"/>
      <c r="B257" s="30"/>
      <c r="C257" s="30"/>
      <c r="D257" s="30"/>
      <c r="E257" s="30"/>
      <c r="F257" s="30"/>
      <c r="G257" s="35">
        <v>23</v>
      </c>
      <c r="H257" s="34"/>
      <c r="I257" s="30"/>
      <c r="J257" s="30"/>
      <c r="K257" s="30"/>
      <c r="L257" s="30"/>
      <c r="M257" s="30"/>
      <c r="N257" s="38">
        <v>16</v>
      </c>
      <c r="O257" s="34"/>
      <c r="P257" s="30"/>
      <c r="Q257" s="30"/>
      <c r="R257" s="30"/>
      <c r="S257" s="30"/>
      <c r="T257" s="30"/>
      <c r="U257" s="38"/>
      <c r="V257" s="34"/>
      <c r="W257" s="30"/>
      <c r="X257" s="30"/>
      <c r="Y257" s="30"/>
      <c r="Z257" s="30"/>
      <c r="AA257" s="30"/>
      <c r="AB257" s="35">
        <v>4</v>
      </c>
      <c r="AD257" s="27">
        <f>IF(ISNUMBER(INDEX($A257:$AB257, MATCH(داشبرد!$D$5, $A$2:$AB$2, 0))), INDEX($A257:$AB257, MATCH(داشبرد!$D$5, $A$2:$AB$2, 0)), NA())</f>
        <v>23</v>
      </c>
    </row>
    <row r="258" spans="1:30" x14ac:dyDescent="0.3">
      <c r="A258" s="34"/>
      <c r="B258" s="30"/>
      <c r="C258" s="30"/>
      <c r="D258" s="30"/>
      <c r="E258" s="30"/>
      <c r="F258" s="30"/>
      <c r="G258" s="35">
        <v>21</v>
      </c>
      <c r="H258" s="34"/>
      <c r="I258" s="30"/>
      <c r="J258" s="30"/>
      <c r="K258" s="30"/>
      <c r="L258" s="30"/>
      <c r="M258" s="30"/>
      <c r="N258" s="38">
        <v>16</v>
      </c>
      <c r="O258" s="34"/>
      <c r="P258" s="30"/>
      <c r="Q258" s="30"/>
      <c r="R258" s="30"/>
      <c r="S258" s="30"/>
      <c r="T258" s="30"/>
      <c r="U258" s="38"/>
      <c r="V258" s="34"/>
      <c r="W258" s="30"/>
      <c r="X258" s="30"/>
      <c r="Y258" s="30"/>
      <c r="Z258" s="30"/>
      <c r="AA258" s="30"/>
      <c r="AB258" s="35">
        <v>2</v>
      </c>
      <c r="AD258" s="27">
        <f>IF(ISNUMBER(INDEX($A258:$AB258, MATCH(داشبرد!$D$5, $A$2:$AB$2, 0))), INDEX($A258:$AB258, MATCH(داشبرد!$D$5, $A$2:$AB$2, 0)), NA())</f>
        <v>21</v>
      </c>
    </row>
    <row r="259" spans="1:30" x14ac:dyDescent="0.3">
      <c r="A259" s="34"/>
      <c r="B259" s="30"/>
      <c r="C259" s="30"/>
      <c r="D259" s="30"/>
      <c r="E259" s="30"/>
      <c r="F259" s="30"/>
      <c r="G259" s="35">
        <v>12</v>
      </c>
      <c r="H259" s="34"/>
      <c r="I259" s="30"/>
      <c r="J259" s="30"/>
      <c r="K259" s="30"/>
      <c r="L259" s="30"/>
      <c r="M259" s="30"/>
      <c r="N259" s="38">
        <v>5</v>
      </c>
      <c r="O259" s="34"/>
      <c r="P259" s="30"/>
      <c r="Q259" s="30"/>
      <c r="R259" s="30"/>
      <c r="S259" s="30"/>
      <c r="T259" s="30"/>
      <c r="U259" s="38"/>
      <c r="V259" s="34"/>
      <c r="W259" s="30"/>
      <c r="X259" s="30"/>
      <c r="Y259" s="30"/>
      <c r="Z259" s="30"/>
      <c r="AA259" s="30"/>
      <c r="AB259" s="35">
        <v>5</v>
      </c>
      <c r="AD259" s="27">
        <f>IF(ISNUMBER(INDEX($A259:$AB259, MATCH(داشبرد!$D$5, $A$2:$AB$2, 0))), INDEX($A259:$AB259, MATCH(داشبرد!$D$5, $A$2:$AB$2, 0)), NA())</f>
        <v>12</v>
      </c>
    </row>
    <row r="260" spans="1:30" x14ac:dyDescent="0.3">
      <c r="A260" s="34"/>
      <c r="B260" s="30"/>
      <c r="C260" s="30"/>
      <c r="D260" s="30"/>
      <c r="E260" s="30"/>
      <c r="F260" s="30"/>
      <c r="G260" s="35">
        <v>11</v>
      </c>
      <c r="H260" s="34"/>
      <c r="I260" s="30"/>
      <c r="J260" s="30"/>
      <c r="K260" s="30"/>
      <c r="L260" s="30"/>
      <c r="M260" s="30"/>
      <c r="N260" s="38">
        <v>5</v>
      </c>
      <c r="O260" s="34"/>
      <c r="P260" s="30"/>
      <c r="Q260" s="30"/>
      <c r="R260" s="30"/>
      <c r="S260" s="30"/>
      <c r="T260" s="30"/>
      <c r="U260" s="38"/>
      <c r="V260" s="34"/>
      <c r="W260" s="30"/>
      <c r="X260" s="30"/>
      <c r="Y260" s="30"/>
      <c r="Z260" s="30"/>
      <c r="AA260" s="30"/>
      <c r="AB260" s="35">
        <v>4</v>
      </c>
      <c r="AD260" s="27">
        <f>IF(ISNUMBER(INDEX($A260:$AB260, MATCH(داشبرد!$D$5, $A$2:$AB$2, 0))), INDEX($A260:$AB260, MATCH(داشبرد!$D$5, $A$2:$AB$2, 0)), NA())</f>
        <v>11</v>
      </c>
    </row>
    <row r="261" spans="1:30" x14ac:dyDescent="0.3">
      <c r="A261" s="34"/>
      <c r="B261" s="30"/>
      <c r="C261" s="30"/>
      <c r="D261" s="30"/>
      <c r="E261" s="30"/>
      <c r="F261" s="30"/>
      <c r="G261" s="35">
        <v>11</v>
      </c>
      <c r="H261" s="34"/>
      <c r="I261" s="30"/>
      <c r="J261" s="30"/>
      <c r="K261" s="30"/>
      <c r="L261" s="30"/>
      <c r="M261" s="30"/>
      <c r="N261" s="38">
        <v>5</v>
      </c>
      <c r="O261" s="34"/>
      <c r="P261" s="30"/>
      <c r="Q261" s="30"/>
      <c r="R261" s="30"/>
      <c r="S261" s="30"/>
      <c r="T261" s="30"/>
      <c r="U261" s="38"/>
      <c r="V261" s="34"/>
      <c r="W261" s="30"/>
      <c r="X261" s="30"/>
      <c r="Y261" s="30"/>
      <c r="Z261" s="30"/>
      <c r="AA261" s="30"/>
      <c r="AB261" s="35">
        <v>4</v>
      </c>
      <c r="AD261" s="27">
        <f>IF(ISNUMBER(INDEX($A261:$AB261, MATCH(داشبرد!$D$5, $A$2:$AB$2, 0))), INDEX($A261:$AB261, MATCH(داشبرد!$D$5, $A$2:$AB$2, 0)), NA())</f>
        <v>11</v>
      </c>
    </row>
    <row r="262" spans="1:30" x14ac:dyDescent="0.3">
      <c r="A262" s="34"/>
      <c r="B262" s="30"/>
      <c r="C262" s="30"/>
      <c r="D262" s="30"/>
      <c r="E262" s="30"/>
      <c r="F262" s="30"/>
      <c r="G262" s="35">
        <v>10</v>
      </c>
      <c r="H262" s="34"/>
      <c r="I262" s="30"/>
      <c r="J262" s="30"/>
      <c r="K262" s="30"/>
      <c r="L262" s="30"/>
      <c r="M262" s="30"/>
      <c r="N262" s="38">
        <v>5</v>
      </c>
      <c r="O262" s="34"/>
      <c r="P262" s="30"/>
      <c r="Q262" s="30"/>
      <c r="R262" s="30"/>
      <c r="S262" s="30"/>
      <c r="T262" s="30"/>
      <c r="U262" s="38"/>
      <c r="V262" s="34"/>
      <c r="W262" s="30"/>
      <c r="X262" s="30"/>
      <c r="Y262" s="30"/>
      <c r="Z262" s="30"/>
      <c r="AA262" s="30"/>
      <c r="AB262" s="35">
        <v>3</v>
      </c>
      <c r="AD262" s="27">
        <f>IF(ISNUMBER(INDEX($A262:$AB262, MATCH(داشبرد!$D$5, $A$2:$AB$2, 0))), INDEX($A262:$AB262, MATCH(داشبرد!$D$5, $A$2:$AB$2, 0)), NA())</f>
        <v>10</v>
      </c>
    </row>
    <row r="263" spans="1:30" x14ac:dyDescent="0.3">
      <c r="A263" s="34"/>
      <c r="B263" s="30"/>
      <c r="C263" s="30"/>
      <c r="D263" s="30"/>
      <c r="E263" s="30"/>
      <c r="F263" s="30"/>
      <c r="G263" s="35">
        <v>10</v>
      </c>
      <c r="H263" s="34"/>
      <c r="I263" s="30"/>
      <c r="J263" s="30"/>
      <c r="K263" s="30"/>
      <c r="L263" s="30"/>
      <c r="M263" s="30"/>
      <c r="N263" s="38">
        <v>5</v>
      </c>
      <c r="O263" s="34"/>
      <c r="P263" s="30"/>
      <c r="Q263" s="30"/>
      <c r="R263" s="30"/>
      <c r="S263" s="30"/>
      <c r="T263" s="30"/>
      <c r="U263" s="38"/>
      <c r="V263" s="34"/>
      <c r="W263" s="30"/>
      <c r="X263" s="30"/>
      <c r="Y263" s="30"/>
      <c r="Z263" s="30"/>
      <c r="AA263" s="30"/>
      <c r="AB263" s="35">
        <v>3</v>
      </c>
      <c r="AD263" s="27">
        <f>IF(ISNUMBER(INDEX($A263:$AB263, MATCH(داشبرد!$D$5, $A$2:$AB$2, 0))), INDEX($A263:$AB263, MATCH(داشبرد!$D$5, $A$2:$AB$2, 0)), NA())</f>
        <v>10</v>
      </c>
    </row>
    <row r="264" spans="1:30" x14ac:dyDescent="0.3">
      <c r="A264" s="34"/>
      <c r="B264" s="30"/>
      <c r="C264" s="30"/>
      <c r="D264" s="30"/>
      <c r="E264" s="30"/>
      <c r="F264" s="30"/>
      <c r="G264" s="35">
        <v>12</v>
      </c>
      <c r="H264" s="34"/>
      <c r="I264" s="30"/>
      <c r="J264" s="30"/>
      <c r="K264" s="30"/>
      <c r="L264" s="30"/>
      <c r="M264" s="30"/>
      <c r="N264" s="38">
        <v>5</v>
      </c>
      <c r="O264" s="34"/>
      <c r="P264" s="30"/>
      <c r="Q264" s="30"/>
      <c r="R264" s="30"/>
      <c r="S264" s="30"/>
      <c r="T264" s="30"/>
      <c r="U264" s="38"/>
      <c r="V264" s="34"/>
      <c r="W264" s="30"/>
      <c r="X264" s="30"/>
      <c r="Y264" s="30"/>
      <c r="Z264" s="30"/>
      <c r="AA264" s="30"/>
      <c r="AB264" s="35">
        <v>4</v>
      </c>
      <c r="AD264" s="27">
        <f>IF(ISNUMBER(INDEX($A264:$AB264, MATCH(داشبرد!$D$5, $A$2:$AB$2, 0))), INDEX($A264:$AB264, MATCH(داشبرد!$D$5, $A$2:$AB$2, 0)), NA())</f>
        <v>12</v>
      </c>
    </row>
    <row r="265" spans="1:30" x14ac:dyDescent="0.3">
      <c r="A265" s="34"/>
      <c r="B265" s="30"/>
      <c r="C265" s="30"/>
      <c r="D265" s="30"/>
      <c r="E265" s="30"/>
      <c r="F265" s="30"/>
      <c r="G265" s="35">
        <v>10</v>
      </c>
      <c r="H265" s="34"/>
      <c r="I265" s="30"/>
      <c r="J265" s="30"/>
      <c r="K265" s="30"/>
      <c r="L265" s="30"/>
      <c r="M265" s="30"/>
      <c r="N265" s="38">
        <v>5</v>
      </c>
      <c r="O265" s="34"/>
      <c r="P265" s="30"/>
      <c r="Q265" s="30"/>
      <c r="R265" s="30"/>
      <c r="S265" s="30"/>
      <c r="T265" s="30"/>
      <c r="U265" s="38"/>
      <c r="V265" s="34"/>
      <c r="W265" s="30"/>
      <c r="X265" s="30"/>
      <c r="Y265" s="30"/>
      <c r="Z265" s="30"/>
      <c r="AA265" s="30"/>
      <c r="AB265" s="35">
        <v>2</v>
      </c>
      <c r="AD265" s="27">
        <f>IF(ISNUMBER(INDEX($A265:$AB265, MATCH(داشبرد!$D$5, $A$2:$AB$2, 0))), INDEX($A265:$AB265, MATCH(داشبرد!$D$5, $A$2:$AB$2, 0)), NA())</f>
        <v>10</v>
      </c>
    </row>
    <row r="266" spans="1:30" x14ac:dyDescent="0.3">
      <c r="A266" s="34"/>
      <c r="B266" s="30"/>
      <c r="C266" s="30"/>
      <c r="D266" s="30"/>
      <c r="E266" s="30"/>
      <c r="F266" s="30"/>
      <c r="G266" s="35">
        <v>9</v>
      </c>
      <c r="H266" s="34"/>
      <c r="I266" s="30"/>
      <c r="J266" s="30"/>
      <c r="K266" s="30"/>
      <c r="L266" s="30"/>
      <c r="M266" s="30"/>
      <c r="N266" s="38">
        <v>5</v>
      </c>
      <c r="O266" s="34"/>
      <c r="P266" s="30"/>
      <c r="Q266" s="30"/>
      <c r="R266" s="30"/>
      <c r="S266" s="30"/>
      <c r="T266" s="30"/>
      <c r="U266" s="38"/>
      <c r="V266" s="34"/>
      <c r="W266" s="30"/>
      <c r="X266" s="30"/>
      <c r="Y266" s="30"/>
      <c r="Z266" s="30"/>
      <c r="AA266" s="30"/>
      <c r="AB266" s="35">
        <v>3</v>
      </c>
      <c r="AD266" s="27">
        <f>IF(ISNUMBER(INDEX($A266:$AB266, MATCH(داشبرد!$D$5, $A$2:$AB$2, 0))), INDEX($A266:$AB266, MATCH(داشبرد!$D$5, $A$2:$AB$2, 0)), NA())</f>
        <v>9</v>
      </c>
    </row>
    <row r="267" spans="1:30" x14ac:dyDescent="0.3">
      <c r="A267" s="34"/>
      <c r="B267" s="30"/>
      <c r="C267" s="30"/>
      <c r="D267" s="30"/>
      <c r="E267" s="30"/>
      <c r="F267" s="30"/>
      <c r="G267" s="35">
        <v>11</v>
      </c>
      <c r="H267" s="34"/>
      <c r="I267" s="30"/>
      <c r="J267" s="30"/>
      <c r="K267" s="30"/>
      <c r="L267" s="30"/>
      <c r="M267" s="30"/>
      <c r="N267" s="38">
        <v>5</v>
      </c>
      <c r="O267" s="34"/>
      <c r="P267" s="30"/>
      <c r="Q267" s="30"/>
      <c r="R267" s="30"/>
      <c r="S267" s="30"/>
      <c r="T267" s="30"/>
      <c r="U267" s="38"/>
      <c r="V267" s="34"/>
      <c r="W267" s="30"/>
      <c r="X267" s="30"/>
      <c r="Y267" s="30"/>
      <c r="Z267" s="30"/>
      <c r="AA267" s="30"/>
      <c r="AB267" s="35">
        <v>5</v>
      </c>
      <c r="AD267" s="27">
        <f>IF(ISNUMBER(INDEX($A267:$AB267, MATCH(داشبرد!$D$5, $A$2:$AB$2, 0))), INDEX($A267:$AB267, MATCH(داشبرد!$D$5, $A$2:$AB$2, 0)), NA())</f>
        <v>11</v>
      </c>
    </row>
    <row r="268" spans="1:30" x14ac:dyDescent="0.3">
      <c r="A268" s="34"/>
      <c r="B268" s="30"/>
      <c r="C268" s="30"/>
      <c r="D268" s="30"/>
      <c r="E268" s="30"/>
      <c r="F268" s="30"/>
      <c r="G268" s="35">
        <v>10</v>
      </c>
      <c r="H268" s="34"/>
      <c r="I268" s="30"/>
      <c r="J268" s="30"/>
      <c r="K268" s="30"/>
      <c r="L268" s="30"/>
      <c r="M268" s="30"/>
      <c r="N268" s="38">
        <v>5</v>
      </c>
      <c r="O268" s="34"/>
      <c r="P268" s="30"/>
      <c r="Q268" s="30"/>
      <c r="R268" s="30"/>
      <c r="S268" s="30"/>
      <c r="T268" s="30"/>
      <c r="U268" s="38"/>
      <c r="V268" s="34"/>
      <c r="W268" s="30"/>
      <c r="X268" s="30"/>
      <c r="Y268" s="30"/>
      <c r="Z268" s="30"/>
      <c r="AA268" s="30"/>
      <c r="AB268" s="35">
        <v>2</v>
      </c>
      <c r="AD268" s="27">
        <f>IF(ISNUMBER(INDEX($A268:$AB268, MATCH(داشبرد!$D$5, $A$2:$AB$2, 0))), INDEX($A268:$AB268, MATCH(داشبرد!$D$5, $A$2:$AB$2, 0)), NA())</f>
        <v>10</v>
      </c>
    </row>
    <row r="269" spans="1:30" x14ac:dyDescent="0.3">
      <c r="A269" s="34"/>
      <c r="B269" s="30"/>
      <c r="C269" s="30"/>
      <c r="D269" s="30"/>
      <c r="E269" s="30"/>
      <c r="F269" s="30"/>
      <c r="G269" s="35">
        <v>11</v>
      </c>
      <c r="H269" s="34"/>
      <c r="I269" s="30"/>
      <c r="J269" s="30"/>
      <c r="K269" s="30"/>
      <c r="L269" s="30"/>
      <c r="M269" s="30"/>
      <c r="N269" s="38">
        <v>5</v>
      </c>
      <c r="O269" s="34"/>
      <c r="P269" s="30"/>
      <c r="Q269" s="30"/>
      <c r="R269" s="30"/>
      <c r="S269" s="30"/>
      <c r="T269" s="30"/>
      <c r="U269" s="38"/>
      <c r="V269" s="34"/>
      <c r="W269" s="30"/>
      <c r="X269" s="30"/>
      <c r="Y269" s="30"/>
      <c r="Z269" s="30"/>
      <c r="AA269" s="30"/>
      <c r="AB269" s="35">
        <v>2</v>
      </c>
      <c r="AD269" s="27">
        <f>IF(ISNUMBER(INDEX($A269:$AB269, MATCH(داشبرد!$D$5, $A$2:$AB$2, 0))), INDEX($A269:$AB269, MATCH(داشبرد!$D$5, $A$2:$AB$2, 0)), NA())</f>
        <v>11</v>
      </c>
    </row>
    <row r="270" spans="1:30" x14ac:dyDescent="0.3">
      <c r="A270" s="34"/>
      <c r="B270" s="30"/>
      <c r="C270" s="30"/>
      <c r="D270" s="30"/>
      <c r="E270" s="30"/>
      <c r="F270" s="30"/>
      <c r="G270" s="35">
        <v>11</v>
      </c>
      <c r="H270" s="34"/>
      <c r="I270" s="30"/>
      <c r="J270" s="30"/>
      <c r="K270" s="30"/>
      <c r="L270" s="30"/>
      <c r="M270" s="30"/>
      <c r="N270" s="38">
        <v>5</v>
      </c>
      <c r="O270" s="34"/>
      <c r="P270" s="30"/>
      <c r="Q270" s="30"/>
      <c r="R270" s="30"/>
      <c r="S270" s="30"/>
      <c r="T270" s="30"/>
      <c r="U270" s="38"/>
      <c r="V270" s="34"/>
      <c r="W270" s="30"/>
      <c r="X270" s="30"/>
      <c r="Y270" s="30"/>
      <c r="Z270" s="30"/>
      <c r="AA270" s="30"/>
      <c r="AB270" s="35">
        <v>2</v>
      </c>
      <c r="AD270" s="27">
        <f>IF(ISNUMBER(INDEX($A270:$AB270, MATCH(داشبرد!$D$5, $A$2:$AB$2, 0))), INDEX($A270:$AB270, MATCH(داشبرد!$D$5, $A$2:$AB$2, 0)), NA())</f>
        <v>11</v>
      </c>
    </row>
    <row r="271" spans="1:30" x14ac:dyDescent="0.3">
      <c r="A271" s="34"/>
      <c r="B271" s="30"/>
      <c r="C271" s="30"/>
      <c r="D271" s="30"/>
      <c r="E271" s="30"/>
      <c r="F271" s="30"/>
      <c r="G271" s="35">
        <v>12</v>
      </c>
      <c r="H271" s="34"/>
      <c r="I271" s="30"/>
      <c r="J271" s="30"/>
      <c r="K271" s="30"/>
      <c r="L271" s="30"/>
      <c r="M271" s="30"/>
      <c r="N271" s="38">
        <v>5</v>
      </c>
      <c r="O271" s="34"/>
      <c r="P271" s="30"/>
      <c r="Q271" s="30"/>
      <c r="R271" s="30"/>
      <c r="S271" s="30"/>
      <c r="T271" s="30"/>
      <c r="U271" s="38"/>
      <c r="V271" s="34"/>
      <c r="W271" s="30"/>
      <c r="X271" s="30"/>
      <c r="Y271" s="30"/>
      <c r="Z271" s="30"/>
      <c r="AA271" s="30"/>
      <c r="AB271" s="35">
        <v>2</v>
      </c>
      <c r="AD271" s="27">
        <f>IF(ISNUMBER(INDEX($A271:$AB271, MATCH(داشبرد!$D$5, $A$2:$AB$2, 0))), INDEX($A271:$AB271, MATCH(داشبرد!$D$5, $A$2:$AB$2, 0)), NA())</f>
        <v>12</v>
      </c>
    </row>
    <row r="272" spans="1:30" x14ac:dyDescent="0.3">
      <c r="A272" s="34"/>
      <c r="B272" s="30"/>
      <c r="C272" s="30"/>
      <c r="D272" s="30"/>
      <c r="E272" s="30"/>
      <c r="F272" s="30"/>
      <c r="G272" s="35">
        <v>12</v>
      </c>
      <c r="H272" s="34"/>
      <c r="I272" s="30"/>
      <c r="J272" s="30"/>
      <c r="K272" s="30"/>
      <c r="L272" s="30"/>
      <c r="M272" s="30"/>
      <c r="N272" s="38">
        <v>5</v>
      </c>
      <c r="O272" s="34"/>
      <c r="P272" s="30"/>
      <c r="Q272" s="30"/>
      <c r="R272" s="30"/>
      <c r="S272" s="30"/>
      <c r="T272" s="30"/>
      <c r="U272" s="38"/>
      <c r="V272" s="34"/>
      <c r="W272" s="30"/>
      <c r="X272" s="30"/>
      <c r="Y272" s="30"/>
      <c r="Z272" s="30"/>
      <c r="AA272" s="30"/>
      <c r="AB272" s="35">
        <v>2</v>
      </c>
      <c r="AD272" s="27">
        <f>IF(ISNUMBER(INDEX($A272:$AB272, MATCH(داشبرد!$D$5, $A$2:$AB$2, 0))), INDEX($A272:$AB272, MATCH(داشبرد!$D$5, $A$2:$AB$2, 0)), NA())</f>
        <v>12</v>
      </c>
    </row>
    <row r="273" spans="1:30" x14ac:dyDescent="0.3">
      <c r="A273" s="34"/>
      <c r="B273" s="30"/>
      <c r="C273" s="30"/>
      <c r="D273" s="30"/>
      <c r="E273" s="30"/>
      <c r="F273" s="30"/>
      <c r="G273" s="35">
        <v>13</v>
      </c>
      <c r="H273" s="34"/>
      <c r="I273" s="30"/>
      <c r="J273" s="30"/>
      <c r="K273" s="30"/>
      <c r="L273" s="30"/>
      <c r="M273" s="30"/>
      <c r="N273" s="38">
        <v>5</v>
      </c>
      <c r="O273" s="34"/>
      <c r="P273" s="30"/>
      <c r="Q273" s="30"/>
      <c r="R273" s="30"/>
      <c r="S273" s="30"/>
      <c r="T273" s="30"/>
      <c r="U273" s="38"/>
      <c r="V273" s="34"/>
      <c r="W273" s="30"/>
      <c r="X273" s="30"/>
      <c r="Y273" s="30"/>
      <c r="Z273" s="30"/>
      <c r="AA273" s="30"/>
      <c r="AB273" s="35">
        <v>3</v>
      </c>
      <c r="AD273" s="27">
        <f>IF(ISNUMBER(INDEX($A273:$AB273, MATCH(داشبرد!$D$5, $A$2:$AB$2, 0))), INDEX($A273:$AB273, MATCH(داشبرد!$D$5, $A$2:$AB$2, 0)), NA())</f>
        <v>13</v>
      </c>
    </row>
    <row r="274" spans="1:30" x14ac:dyDescent="0.3">
      <c r="A274" s="34"/>
      <c r="B274" s="30"/>
      <c r="C274" s="30"/>
      <c r="D274" s="30"/>
      <c r="E274" s="30"/>
      <c r="F274" s="30"/>
      <c r="G274" s="35">
        <v>12</v>
      </c>
      <c r="H274" s="34"/>
      <c r="I274" s="30"/>
      <c r="J274" s="30"/>
      <c r="K274" s="30"/>
      <c r="L274" s="30"/>
      <c r="M274" s="30"/>
      <c r="N274" s="38">
        <v>5</v>
      </c>
      <c r="O274" s="34"/>
      <c r="P274" s="30"/>
      <c r="Q274" s="30"/>
      <c r="R274" s="30"/>
      <c r="S274" s="30"/>
      <c r="T274" s="30"/>
      <c r="U274" s="38"/>
      <c r="V274" s="34"/>
      <c r="W274" s="30"/>
      <c r="X274" s="30"/>
      <c r="Y274" s="30"/>
      <c r="Z274" s="30"/>
      <c r="AA274" s="30"/>
      <c r="AB274" s="35">
        <v>4</v>
      </c>
      <c r="AD274" s="27">
        <f>IF(ISNUMBER(INDEX($A274:$AB274, MATCH(داشبرد!$D$5, $A$2:$AB$2, 0))), INDEX($A274:$AB274, MATCH(داشبرد!$D$5, $A$2:$AB$2, 0)), NA())</f>
        <v>12</v>
      </c>
    </row>
    <row r="275" spans="1:30" x14ac:dyDescent="0.3">
      <c r="A275" s="34"/>
      <c r="B275" s="30"/>
      <c r="C275" s="30"/>
      <c r="D275" s="30"/>
      <c r="E275" s="30"/>
      <c r="F275" s="30"/>
      <c r="G275" s="35">
        <v>11</v>
      </c>
      <c r="H275" s="34"/>
      <c r="I275" s="30"/>
      <c r="J275" s="30"/>
      <c r="K275" s="30"/>
      <c r="L275" s="30"/>
      <c r="M275" s="30"/>
      <c r="N275" s="38">
        <v>5</v>
      </c>
      <c r="O275" s="34"/>
      <c r="P275" s="30"/>
      <c r="Q275" s="30"/>
      <c r="R275" s="30"/>
      <c r="S275" s="30"/>
      <c r="T275" s="30"/>
      <c r="U275" s="38"/>
      <c r="V275" s="34"/>
      <c r="W275" s="30"/>
      <c r="X275" s="30"/>
      <c r="Y275" s="30"/>
      <c r="Z275" s="30"/>
      <c r="AA275" s="30"/>
      <c r="AB275" s="35">
        <v>3</v>
      </c>
      <c r="AD275" s="27">
        <f>IF(ISNUMBER(INDEX($A275:$AB275, MATCH(داشبرد!$D$5, $A$2:$AB$2, 0))), INDEX($A275:$AB275, MATCH(داشبرد!$D$5, $A$2:$AB$2, 0)), NA())</f>
        <v>11</v>
      </c>
    </row>
    <row r="276" spans="1:30" x14ac:dyDescent="0.3">
      <c r="A276" s="34"/>
      <c r="B276" s="30"/>
      <c r="C276" s="30"/>
      <c r="D276" s="30"/>
      <c r="E276" s="30"/>
      <c r="F276" s="30"/>
      <c r="G276" s="35">
        <v>12</v>
      </c>
      <c r="H276" s="34"/>
      <c r="I276" s="30"/>
      <c r="J276" s="30"/>
      <c r="K276" s="30"/>
      <c r="L276" s="30"/>
      <c r="M276" s="30"/>
      <c r="N276" s="38">
        <v>5</v>
      </c>
      <c r="O276" s="34"/>
      <c r="P276" s="30"/>
      <c r="Q276" s="30"/>
      <c r="R276" s="30"/>
      <c r="S276" s="30"/>
      <c r="T276" s="30"/>
      <c r="U276" s="38"/>
      <c r="V276" s="34"/>
      <c r="W276" s="30"/>
      <c r="X276" s="30"/>
      <c r="Y276" s="30"/>
      <c r="Z276" s="30"/>
      <c r="AA276" s="30"/>
      <c r="AB276" s="35">
        <v>3</v>
      </c>
      <c r="AD276" s="27">
        <f>IF(ISNUMBER(INDEX($A276:$AB276, MATCH(داشبرد!$D$5, $A$2:$AB$2, 0))), INDEX($A276:$AB276, MATCH(داشبرد!$D$5, $A$2:$AB$2, 0)), NA())</f>
        <v>12</v>
      </c>
    </row>
    <row r="277" spans="1:30" x14ac:dyDescent="0.3">
      <c r="A277" s="34"/>
      <c r="B277" s="30"/>
      <c r="C277" s="30"/>
      <c r="D277" s="30"/>
      <c r="E277" s="30"/>
      <c r="F277" s="30"/>
      <c r="G277" s="35">
        <v>12</v>
      </c>
      <c r="H277" s="34"/>
      <c r="I277" s="30"/>
      <c r="J277" s="30"/>
      <c r="K277" s="30"/>
      <c r="L277" s="30"/>
      <c r="M277" s="30"/>
      <c r="N277" s="38">
        <v>5</v>
      </c>
      <c r="O277" s="34"/>
      <c r="P277" s="30"/>
      <c r="Q277" s="30"/>
      <c r="R277" s="30"/>
      <c r="S277" s="30"/>
      <c r="T277" s="30"/>
      <c r="U277" s="38"/>
      <c r="V277" s="34"/>
      <c r="W277" s="30"/>
      <c r="X277" s="30"/>
      <c r="Y277" s="30"/>
      <c r="Z277" s="30"/>
      <c r="AA277" s="30"/>
      <c r="AB277" s="35">
        <v>3</v>
      </c>
      <c r="AD277" s="27">
        <f>IF(ISNUMBER(INDEX($A277:$AB277, MATCH(داشبرد!$D$5, $A$2:$AB$2, 0))), INDEX($A277:$AB277, MATCH(داشبرد!$D$5, $A$2:$AB$2, 0)), NA())</f>
        <v>12</v>
      </c>
    </row>
    <row r="278" spans="1:30" x14ac:dyDescent="0.3">
      <c r="A278" s="34"/>
      <c r="B278" s="30"/>
      <c r="C278" s="30"/>
      <c r="D278" s="30"/>
      <c r="E278" s="30"/>
      <c r="F278" s="30"/>
      <c r="G278" s="35">
        <v>11</v>
      </c>
      <c r="H278" s="34"/>
      <c r="I278" s="30"/>
      <c r="J278" s="30"/>
      <c r="K278" s="30"/>
      <c r="L278" s="30"/>
      <c r="M278" s="30"/>
      <c r="N278" s="38">
        <v>5</v>
      </c>
      <c r="O278" s="34"/>
      <c r="P278" s="30"/>
      <c r="Q278" s="30"/>
      <c r="R278" s="30"/>
      <c r="S278" s="30"/>
      <c r="T278" s="30"/>
      <c r="U278" s="38"/>
      <c r="V278" s="34"/>
      <c r="W278" s="30"/>
      <c r="X278" s="30"/>
      <c r="Y278" s="30"/>
      <c r="Z278" s="30"/>
      <c r="AA278" s="30"/>
      <c r="AB278" s="35">
        <v>2</v>
      </c>
      <c r="AD278" s="27">
        <f>IF(ISNUMBER(INDEX($A278:$AB278, MATCH(داشبرد!$D$5, $A$2:$AB$2, 0))), INDEX($A278:$AB278, MATCH(داشبرد!$D$5, $A$2:$AB$2, 0)), NA())</f>
        <v>11</v>
      </c>
    </row>
    <row r="279" spans="1:30" x14ac:dyDescent="0.3">
      <c r="A279" s="34"/>
      <c r="B279" s="30"/>
      <c r="C279" s="30"/>
      <c r="D279" s="30"/>
      <c r="E279" s="30"/>
      <c r="F279" s="30"/>
      <c r="G279" s="35">
        <v>9</v>
      </c>
      <c r="H279" s="34"/>
      <c r="I279" s="30"/>
      <c r="J279" s="30"/>
      <c r="K279" s="30"/>
      <c r="L279" s="30"/>
      <c r="M279" s="30"/>
      <c r="N279" s="38">
        <v>5</v>
      </c>
      <c r="O279" s="34"/>
      <c r="P279" s="30"/>
      <c r="Q279" s="30"/>
      <c r="R279" s="30"/>
      <c r="S279" s="30"/>
      <c r="T279" s="30"/>
      <c r="U279" s="38"/>
      <c r="V279" s="34"/>
      <c r="W279" s="30"/>
      <c r="X279" s="30"/>
      <c r="Y279" s="30"/>
      <c r="Z279" s="30"/>
      <c r="AA279" s="30"/>
      <c r="AB279" s="35">
        <v>2</v>
      </c>
      <c r="AD279" s="27">
        <f>IF(ISNUMBER(INDEX($A279:$AB279, MATCH(داشبرد!$D$5, $A$2:$AB$2, 0))), INDEX($A279:$AB279, MATCH(داشبرد!$D$5, $A$2:$AB$2, 0)), NA())</f>
        <v>9</v>
      </c>
    </row>
    <row r="280" spans="1:30" x14ac:dyDescent="0.3">
      <c r="A280" s="34"/>
      <c r="B280" s="30"/>
      <c r="C280" s="30"/>
      <c r="D280" s="30"/>
      <c r="E280" s="30"/>
      <c r="F280" s="30"/>
      <c r="G280" s="35">
        <v>9</v>
      </c>
      <c r="H280" s="34"/>
      <c r="I280" s="30"/>
      <c r="J280" s="30"/>
      <c r="K280" s="30"/>
      <c r="L280" s="30"/>
      <c r="M280" s="30"/>
      <c r="N280" s="38">
        <v>5</v>
      </c>
      <c r="O280" s="34"/>
      <c r="P280" s="30"/>
      <c r="Q280" s="30"/>
      <c r="R280" s="30"/>
      <c r="S280" s="30"/>
      <c r="T280" s="30"/>
      <c r="U280" s="38"/>
      <c r="V280" s="34"/>
      <c r="W280" s="30"/>
      <c r="X280" s="30"/>
      <c r="Y280" s="30"/>
      <c r="Z280" s="30"/>
      <c r="AA280" s="30"/>
      <c r="AB280" s="35">
        <v>2</v>
      </c>
      <c r="AD280" s="27">
        <f>IF(ISNUMBER(INDEX($A280:$AB280, MATCH(داشبرد!$D$5, $A$2:$AB$2, 0))), INDEX($A280:$AB280, MATCH(داشبرد!$D$5, $A$2:$AB$2, 0)), NA())</f>
        <v>9</v>
      </c>
    </row>
    <row r="281" spans="1:30" x14ac:dyDescent="0.3">
      <c r="A281" s="34"/>
      <c r="B281" s="30"/>
      <c r="C281" s="30"/>
      <c r="D281" s="30"/>
      <c r="E281" s="30"/>
      <c r="F281" s="30"/>
      <c r="G281" s="40">
        <v>10</v>
      </c>
      <c r="H281" s="36"/>
      <c r="I281" s="32"/>
      <c r="J281" s="32"/>
      <c r="K281" s="32"/>
      <c r="L281" s="32"/>
      <c r="M281" s="32"/>
      <c r="N281" s="41">
        <v>5</v>
      </c>
      <c r="O281" s="36"/>
      <c r="P281" s="32"/>
      <c r="Q281" s="32"/>
      <c r="R281" s="32"/>
      <c r="S281" s="32"/>
      <c r="T281" s="32"/>
      <c r="U281" s="41"/>
      <c r="V281" s="36"/>
      <c r="W281" s="32"/>
      <c r="X281" s="32"/>
      <c r="Y281" s="32"/>
      <c r="Z281" s="32"/>
      <c r="AA281" s="32"/>
      <c r="AB281" s="40">
        <v>3</v>
      </c>
      <c r="AD281" s="27">
        <f>IF(ISNUMBER(INDEX($A281:$AB281, MATCH(داشبرد!$D$5, $A$2:$AB$2, 0))), INDEX($A281:$AB281, MATCH(داشبرد!$D$5, $A$2:$AB$2, 0)), NA())</f>
        <v>10</v>
      </c>
    </row>
    <row r="282" spans="1:30" x14ac:dyDescent="0.3">
      <c r="A282" s="39"/>
      <c r="B282" s="29"/>
      <c r="C282" s="29"/>
      <c r="D282" s="29"/>
      <c r="E282" s="29"/>
      <c r="F282" s="29"/>
      <c r="G282" s="40"/>
      <c r="H282" s="39"/>
      <c r="I282" s="29"/>
      <c r="J282" s="29"/>
      <c r="K282" s="29"/>
      <c r="L282" s="29"/>
      <c r="M282" s="29"/>
      <c r="N282" s="40"/>
      <c r="O282" s="39"/>
      <c r="P282" s="29"/>
      <c r="Q282" s="29"/>
      <c r="R282" s="29"/>
      <c r="S282" s="29"/>
      <c r="T282" s="29"/>
      <c r="U282" s="40"/>
      <c r="V282" s="39"/>
      <c r="W282" s="29"/>
      <c r="X282" s="29"/>
      <c r="Y282" s="29"/>
      <c r="Z282" s="29"/>
      <c r="AA282" s="29"/>
      <c r="AB282" s="40"/>
    </row>
  </sheetData>
  <mergeCells count="4">
    <mergeCell ref="A1:G1"/>
    <mergeCell ref="H1:N1"/>
    <mergeCell ref="O1:U1"/>
    <mergeCell ref="V1:A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داشبرد</vt:lpstr>
      <vt:lpstr>محاسبات</vt:lpstr>
      <vt:lpstr>پایگاه داده</vt:lpstr>
      <vt:lpstr>شاخص مسیر</vt:lpstr>
      <vt:lpstr>شبیه سازی مسیر بندر به اصفهان</vt:lpstr>
      <vt:lpstr>شبیه سازی مسیر بندر به تهران</vt:lpstr>
      <vt:lpstr>شبیه سازی مسیر بندر به زرندیه</vt:lpstr>
      <vt:lpstr>پایگاه داده باکس پلات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Sadra 8338</cp:lastModifiedBy>
  <dcterms:created xsi:type="dcterms:W3CDTF">2026-10-13T21:20:58Z</dcterms:created>
  <dcterms:modified xsi:type="dcterms:W3CDTF">2026-10-16T06:12:06Z</dcterms:modified>
</cp:coreProperties>
</file>